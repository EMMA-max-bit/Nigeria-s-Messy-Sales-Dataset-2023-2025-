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mma Tergunwa\Desktop\HNG INTERNSHIP\"/>
    </mc:Choice>
  </mc:AlternateContent>
  <xr:revisionPtr revIDLastSave="0" documentId="13_ncr:1_{CEA15859-9AE4-412A-BBD7-B5A6B87C25E6}" xr6:coauthVersionLast="47" xr6:coauthVersionMax="47" xr10:uidLastSave="{00000000-0000-0000-0000-000000000000}"/>
  <bookViews>
    <workbookView xWindow="-120" yWindow="-120" windowWidth="20730" windowHeight="11160" activeTab="1" xr2:uid="{B0A882E8-D4A2-4CB9-94E2-55BAB01D5AFF}"/>
  </bookViews>
  <sheets>
    <sheet name="Raw_Data" sheetId="1" r:id="rId1"/>
    <sheet name="Pivot_Table" sheetId="3" r:id="rId2"/>
    <sheet name="Dashboard" sheetId="6" r:id="rId3"/>
    <sheet name="Cleaned_Data" sheetId="2" r:id="rId4"/>
  </sheets>
  <definedNames>
    <definedName name="ExternalData_1" localSheetId="3" hidden="1">Cleaned_Data!$A$1:$L$551</definedName>
    <definedName name="Slicer_Month">#N/A</definedName>
    <definedName name="Slicer_Sales_Channel">#N/A</definedName>
    <definedName name="Slicer_Year">#N/A</definedName>
  </definedNames>
  <calcPr calcId="191029"/>
  <pivotCaches>
    <pivotCache cacheId="9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J551" i="2"/>
  <c r="I551" i="2"/>
  <c r="G551" i="2"/>
  <c r="J550" i="2"/>
  <c r="I550" i="2"/>
  <c r="G550" i="2"/>
  <c r="J549" i="2"/>
  <c r="I549" i="2"/>
  <c r="G549" i="2"/>
  <c r="J548" i="2"/>
  <c r="I548" i="2"/>
  <c r="G548" i="2"/>
  <c r="J547" i="2"/>
  <c r="I547" i="2"/>
  <c r="G547" i="2"/>
  <c r="J546" i="2"/>
  <c r="I546" i="2"/>
  <c r="G546" i="2"/>
  <c r="J545" i="2"/>
  <c r="I545" i="2"/>
  <c r="G545" i="2"/>
  <c r="J544" i="2"/>
  <c r="I544" i="2"/>
  <c r="G544" i="2"/>
  <c r="J543" i="2"/>
  <c r="I543" i="2"/>
  <c r="G543" i="2"/>
  <c r="J542" i="2"/>
  <c r="I542" i="2"/>
  <c r="G542" i="2"/>
  <c r="J541" i="2"/>
  <c r="I541" i="2"/>
  <c r="G541" i="2"/>
  <c r="J540" i="2"/>
  <c r="I540" i="2"/>
  <c r="G540" i="2"/>
  <c r="J539" i="2"/>
  <c r="I539" i="2"/>
  <c r="G539" i="2"/>
  <c r="J538" i="2"/>
  <c r="I538" i="2"/>
  <c r="G538" i="2"/>
  <c r="J537" i="2"/>
  <c r="I537" i="2"/>
  <c r="G537" i="2"/>
  <c r="J536" i="2"/>
  <c r="I536" i="2"/>
  <c r="G536" i="2"/>
  <c r="J535" i="2"/>
  <c r="I535" i="2"/>
  <c r="G535" i="2"/>
  <c r="J534" i="2"/>
  <c r="I534" i="2"/>
  <c r="G534" i="2"/>
  <c r="J533" i="2"/>
  <c r="I533" i="2"/>
  <c r="G533" i="2"/>
  <c r="J532" i="2"/>
  <c r="I532" i="2"/>
  <c r="G532" i="2"/>
  <c r="J531" i="2"/>
  <c r="I531" i="2"/>
  <c r="G531" i="2"/>
  <c r="J530" i="2"/>
  <c r="I530" i="2"/>
  <c r="G530" i="2"/>
  <c r="J529" i="2"/>
  <c r="I529" i="2"/>
  <c r="G529" i="2"/>
  <c r="J528" i="2"/>
  <c r="I528" i="2"/>
  <c r="G528" i="2"/>
  <c r="J527" i="2"/>
  <c r="I527" i="2"/>
  <c r="G527" i="2"/>
  <c r="J526" i="2"/>
  <c r="I526" i="2"/>
  <c r="G526" i="2"/>
  <c r="J525" i="2"/>
  <c r="I525" i="2"/>
  <c r="G525" i="2"/>
  <c r="J524" i="2"/>
  <c r="I524" i="2"/>
  <c r="G524" i="2"/>
  <c r="J523" i="2"/>
  <c r="I523" i="2"/>
  <c r="G523" i="2"/>
  <c r="J522" i="2"/>
  <c r="I522" i="2"/>
  <c r="G522" i="2"/>
  <c r="J521" i="2"/>
  <c r="I521" i="2"/>
  <c r="G521" i="2"/>
  <c r="J520" i="2"/>
  <c r="I520" i="2"/>
  <c r="G520" i="2"/>
  <c r="J519" i="2"/>
  <c r="I519" i="2"/>
  <c r="G519" i="2"/>
  <c r="J518" i="2"/>
  <c r="I518" i="2"/>
  <c r="G518" i="2"/>
  <c r="J517" i="2"/>
  <c r="I517" i="2"/>
  <c r="G517" i="2"/>
  <c r="J516" i="2"/>
  <c r="I516" i="2"/>
  <c r="G516" i="2"/>
  <c r="J515" i="2"/>
  <c r="I515" i="2"/>
  <c r="G515" i="2"/>
  <c r="J514" i="2"/>
  <c r="I514" i="2"/>
  <c r="G514" i="2"/>
  <c r="J513" i="2"/>
  <c r="I513" i="2"/>
  <c r="G513" i="2"/>
  <c r="J512" i="2"/>
  <c r="I512" i="2"/>
  <c r="G512" i="2"/>
  <c r="J511" i="2"/>
  <c r="I511" i="2"/>
  <c r="G511" i="2"/>
  <c r="J510" i="2"/>
  <c r="I510" i="2"/>
  <c r="G510" i="2"/>
  <c r="J509" i="2"/>
  <c r="I509" i="2"/>
  <c r="G509" i="2"/>
  <c r="J508" i="2"/>
  <c r="I508" i="2"/>
  <c r="G508" i="2"/>
  <c r="J507" i="2"/>
  <c r="I507" i="2"/>
  <c r="G507" i="2"/>
  <c r="J506" i="2"/>
  <c r="I506" i="2"/>
  <c r="G506" i="2"/>
  <c r="J505" i="2"/>
  <c r="I505" i="2"/>
  <c r="G505" i="2"/>
  <c r="J504" i="2"/>
  <c r="I504" i="2"/>
  <c r="G504" i="2"/>
  <c r="J503" i="2"/>
  <c r="I503" i="2"/>
  <c r="G503" i="2"/>
  <c r="J502" i="2"/>
  <c r="I502" i="2"/>
  <c r="G502" i="2"/>
  <c r="J501" i="2"/>
  <c r="I501" i="2"/>
  <c r="G501" i="2"/>
  <c r="J500" i="2"/>
  <c r="I500" i="2"/>
  <c r="G500" i="2"/>
  <c r="J499" i="2"/>
  <c r="I499" i="2"/>
  <c r="G499" i="2"/>
  <c r="J498" i="2"/>
  <c r="I498" i="2"/>
  <c r="G498" i="2"/>
  <c r="J497" i="2"/>
  <c r="I497" i="2"/>
  <c r="G497" i="2"/>
  <c r="J496" i="2"/>
  <c r="I496" i="2"/>
  <c r="G496" i="2"/>
  <c r="J495" i="2"/>
  <c r="I495" i="2"/>
  <c r="G495" i="2"/>
  <c r="J494" i="2"/>
  <c r="I494" i="2"/>
  <c r="G494" i="2"/>
  <c r="J493" i="2"/>
  <c r="I493" i="2"/>
  <c r="G493" i="2"/>
  <c r="J492" i="2"/>
  <c r="I492" i="2"/>
  <c r="G492" i="2"/>
  <c r="J491" i="2"/>
  <c r="I491" i="2"/>
  <c r="G491" i="2"/>
  <c r="J490" i="2"/>
  <c r="I490" i="2"/>
  <c r="G490" i="2"/>
  <c r="J489" i="2"/>
  <c r="I489" i="2"/>
  <c r="G489" i="2"/>
  <c r="J488" i="2"/>
  <c r="I488" i="2"/>
  <c r="G488" i="2"/>
  <c r="J487" i="2"/>
  <c r="I487" i="2"/>
  <c r="G487" i="2"/>
  <c r="J486" i="2"/>
  <c r="I486" i="2"/>
  <c r="G486" i="2"/>
  <c r="J485" i="2"/>
  <c r="I485" i="2"/>
  <c r="G485" i="2"/>
  <c r="J484" i="2"/>
  <c r="I484" i="2"/>
  <c r="G484" i="2"/>
  <c r="J483" i="2"/>
  <c r="I483" i="2"/>
  <c r="G483" i="2"/>
  <c r="J482" i="2"/>
  <c r="I482" i="2"/>
  <c r="G482" i="2"/>
  <c r="J481" i="2"/>
  <c r="I481" i="2"/>
  <c r="G481" i="2"/>
  <c r="J480" i="2"/>
  <c r="I480" i="2"/>
  <c r="G480" i="2"/>
  <c r="J479" i="2"/>
  <c r="I479" i="2"/>
  <c r="G479" i="2"/>
  <c r="J478" i="2"/>
  <c r="I478" i="2"/>
  <c r="G478" i="2"/>
  <c r="J477" i="2"/>
  <c r="I477" i="2"/>
  <c r="G477" i="2"/>
  <c r="J476" i="2"/>
  <c r="I476" i="2"/>
  <c r="G476" i="2"/>
  <c r="J475" i="2"/>
  <c r="I475" i="2"/>
  <c r="G475" i="2"/>
  <c r="J474" i="2"/>
  <c r="I474" i="2"/>
  <c r="G474" i="2"/>
  <c r="J473" i="2"/>
  <c r="I473" i="2"/>
  <c r="G473" i="2"/>
  <c r="J472" i="2"/>
  <c r="I472" i="2"/>
  <c r="G472" i="2"/>
  <c r="J471" i="2"/>
  <c r="I471" i="2"/>
  <c r="G471" i="2"/>
  <c r="J470" i="2"/>
  <c r="I470" i="2"/>
  <c r="G470" i="2"/>
  <c r="J469" i="2"/>
  <c r="I469" i="2"/>
  <c r="G469" i="2"/>
  <c r="J468" i="2"/>
  <c r="I468" i="2"/>
  <c r="G468" i="2"/>
  <c r="J467" i="2"/>
  <c r="I467" i="2"/>
  <c r="G467" i="2"/>
  <c r="J466" i="2"/>
  <c r="I466" i="2"/>
  <c r="G466" i="2"/>
  <c r="J465" i="2"/>
  <c r="I465" i="2"/>
  <c r="G465" i="2"/>
  <c r="J464" i="2"/>
  <c r="I464" i="2"/>
  <c r="G464" i="2"/>
  <c r="J463" i="2"/>
  <c r="I463" i="2"/>
  <c r="G463" i="2"/>
  <c r="J462" i="2"/>
  <c r="I462" i="2"/>
  <c r="G462" i="2"/>
  <c r="J461" i="2"/>
  <c r="I461" i="2"/>
  <c r="G461" i="2"/>
  <c r="J460" i="2"/>
  <c r="I460" i="2"/>
  <c r="G460" i="2"/>
  <c r="J459" i="2"/>
  <c r="I459" i="2"/>
  <c r="G459" i="2"/>
  <c r="J458" i="2"/>
  <c r="I458" i="2"/>
  <c r="G458" i="2"/>
  <c r="J457" i="2"/>
  <c r="I457" i="2"/>
  <c r="G457" i="2"/>
  <c r="J456" i="2"/>
  <c r="I456" i="2"/>
  <c r="G456" i="2"/>
  <c r="J455" i="2"/>
  <c r="I455" i="2"/>
  <c r="G455" i="2"/>
  <c r="J454" i="2"/>
  <c r="I454" i="2"/>
  <c r="G454" i="2"/>
  <c r="J453" i="2"/>
  <c r="I453" i="2"/>
  <c r="G453" i="2"/>
  <c r="J452" i="2"/>
  <c r="I452" i="2"/>
  <c r="G452" i="2"/>
  <c r="J451" i="2"/>
  <c r="I451" i="2"/>
  <c r="G451" i="2"/>
  <c r="J450" i="2"/>
  <c r="I450" i="2"/>
  <c r="G450" i="2"/>
  <c r="J449" i="2"/>
  <c r="I449" i="2"/>
  <c r="G449" i="2"/>
  <c r="J448" i="2"/>
  <c r="I448" i="2"/>
  <c r="G448" i="2"/>
  <c r="J447" i="2"/>
  <c r="I447" i="2"/>
  <c r="G447" i="2"/>
  <c r="J446" i="2"/>
  <c r="I446" i="2"/>
  <c r="G446" i="2"/>
  <c r="J445" i="2"/>
  <c r="I445" i="2"/>
  <c r="G445" i="2"/>
  <c r="J444" i="2"/>
  <c r="I444" i="2"/>
  <c r="G444" i="2"/>
  <c r="J443" i="2"/>
  <c r="I443" i="2"/>
  <c r="G443" i="2"/>
  <c r="J442" i="2"/>
  <c r="I442" i="2"/>
  <c r="G442" i="2"/>
  <c r="J441" i="2"/>
  <c r="I441" i="2"/>
  <c r="G441" i="2"/>
  <c r="J440" i="2"/>
  <c r="I440" i="2"/>
  <c r="G440" i="2"/>
  <c r="J439" i="2"/>
  <c r="I439" i="2"/>
  <c r="G439" i="2"/>
  <c r="J438" i="2"/>
  <c r="I438" i="2"/>
  <c r="G438" i="2"/>
  <c r="J437" i="2"/>
  <c r="I437" i="2"/>
  <c r="G437" i="2"/>
  <c r="J436" i="2"/>
  <c r="I436" i="2"/>
  <c r="G436" i="2"/>
  <c r="J435" i="2"/>
  <c r="I435" i="2"/>
  <c r="G435" i="2"/>
  <c r="J434" i="2"/>
  <c r="I434" i="2"/>
  <c r="G434" i="2"/>
  <c r="J433" i="2"/>
  <c r="I433" i="2"/>
  <c r="G433" i="2"/>
  <c r="J432" i="2"/>
  <c r="I432" i="2"/>
  <c r="G432" i="2"/>
  <c r="J431" i="2"/>
  <c r="I431" i="2"/>
  <c r="G431" i="2"/>
  <c r="J430" i="2"/>
  <c r="I430" i="2"/>
  <c r="G430" i="2"/>
  <c r="J429" i="2"/>
  <c r="I429" i="2"/>
  <c r="G429" i="2"/>
  <c r="J428" i="2"/>
  <c r="I428" i="2"/>
  <c r="G428" i="2"/>
  <c r="J427" i="2"/>
  <c r="I427" i="2"/>
  <c r="G427" i="2"/>
  <c r="J426" i="2"/>
  <c r="I426" i="2"/>
  <c r="G426" i="2"/>
  <c r="J425" i="2"/>
  <c r="I425" i="2"/>
  <c r="G425" i="2"/>
  <c r="J424" i="2"/>
  <c r="I424" i="2"/>
  <c r="G424" i="2"/>
  <c r="J423" i="2"/>
  <c r="I423" i="2"/>
  <c r="G423" i="2"/>
  <c r="J422" i="2"/>
  <c r="I422" i="2"/>
  <c r="G422" i="2"/>
  <c r="J421" i="2"/>
  <c r="I421" i="2"/>
  <c r="G421" i="2"/>
  <c r="J420" i="2"/>
  <c r="I420" i="2"/>
  <c r="G420" i="2"/>
  <c r="J419" i="2"/>
  <c r="I419" i="2"/>
  <c r="G419" i="2"/>
  <c r="J418" i="2"/>
  <c r="I418" i="2"/>
  <c r="G418" i="2"/>
  <c r="J417" i="2"/>
  <c r="I417" i="2"/>
  <c r="G417" i="2"/>
  <c r="J416" i="2"/>
  <c r="I416" i="2"/>
  <c r="G416" i="2"/>
  <c r="J415" i="2"/>
  <c r="I415" i="2"/>
  <c r="G415" i="2"/>
  <c r="J414" i="2"/>
  <c r="I414" i="2"/>
  <c r="G414" i="2"/>
  <c r="J413" i="2"/>
  <c r="I413" i="2"/>
  <c r="G413" i="2"/>
  <c r="J412" i="2"/>
  <c r="I412" i="2"/>
  <c r="G412" i="2"/>
  <c r="J411" i="2"/>
  <c r="I411" i="2"/>
  <c r="G411" i="2"/>
  <c r="J410" i="2"/>
  <c r="I410" i="2"/>
  <c r="G410" i="2"/>
  <c r="J409" i="2"/>
  <c r="I409" i="2"/>
  <c r="G409" i="2"/>
  <c r="J408" i="2"/>
  <c r="I408" i="2"/>
  <c r="G408" i="2"/>
  <c r="J407" i="2"/>
  <c r="I407" i="2"/>
  <c r="G407" i="2"/>
  <c r="J406" i="2"/>
  <c r="I406" i="2"/>
  <c r="G406" i="2"/>
  <c r="J405" i="2"/>
  <c r="I405" i="2"/>
  <c r="G405" i="2"/>
  <c r="J404" i="2"/>
  <c r="I404" i="2"/>
  <c r="G404" i="2"/>
  <c r="J403" i="2"/>
  <c r="I403" i="2"/>
  <c r="G403" i="2"/>
  <c r="J402" i="2"/>
  <c r="I402" i="2"/>
  <c r="G402" i="2"/>
  <c r="J401" i="2"/>
  <c r="I401" i="2"/>
  <c r="G401" i="2"/>
  <c r="J400" i="2"/>
  <c r="I400" i="2"/>
  <c r="G400" i="2"/>
  <c r="J399" i="2"/>
  <c r="I399" i="2"/>
  <c r="G399" i="2"/>
  <c r="J398" i="2"/>
  <c r="I398" i="2"/>
  <c r="G398" i="2"/>
  <c r="J397" i="2"/>
  <c r="I397" i="2"/>
  <c r="G397" i="2"/>
  <c r="J396" i="2"/>
  <c r="I396" i="2"/>
  <c r="G396" i="2"/>
  <c r="J395" i="2"/>
  <c r="I395" i="2"/>
  <c r="G395" i="2"/>
  <c r="J394" i="2"/>
  <c r="I394" i="2"/>
  <c r="G394" i="2"/>
  <c r="J393" i="2"/>
  <c r="I393" i="2"/>
  <c r="G393" i="2"/>
  <c r="J392" i="2"/>
  <c r="I392" i="2"/>
  <c r="G392" i="2"/>
  <c r="J391" i="2"/>
  <c r="I391" i="2"/>
  <c r="G391" i="2"/>
  <c r="J390" i="2"/>
  <c r="I390" i="2"/>
  <c r="G390" i="2"/>
  <c r="J389" i="2"/>
  <c r="I389" i="2"/>
  <c r="G389" i="2"/>
  <c r="J388" i="2"/>
  <c r="I388" i="2"/>
  <c r="G388" i="2"/>
  <c r="J387" i="2"/>
  <c r="I387" i="2"/>
  <c r="G387" i="2"/>
  <c r="J386" i="2"/>
  <c r="I386" i="2"/>
  <c r="G386" i="2"/>
  <c r="J385" i="2"/>
  <c r="I385" i="2"/>
  <c r="G385" i="2"/>
  <c r="J384" i="2"/>
  <c r="I384" i="2"/>
  <c r="G384" i="2"/>
  <c r="J383" i="2"/>
  <c r="I383" i="2"/>
  <c r="G383" i="2"/>
  <c r="J382" i="2"/>
  <c r="I382" i="2"/>
  <c r="G382" i="2"/>
  <c r="J381" i="2"/>
  <c r="I381" i="2"/>
  <c r="G381" i="2"/>
  <c r="J380" i="2"/>
  <c r="I380" i="2"/>
  <c r="G380" i="2"/>
  <c r="J379" i="2"/>
  <c r="I379" i="2"/>
  <c r="G379" i="2"/>
  <c r="J378" i="2"/>
  <c r="I378" i="2"/>
  <c r="G378" i="2"/>
  <c r="J377" i="2"/>
  <c r="I377" i="2"/>
  <c r="G377" i="2"/>
  <c r="J376" i="2"/>
  <c r="I376" i="2"/>
  <c r="G376" i="2"/>
  <c r="J375" i="2"/>
  <c r="I375" i="2"/>
  <c r="G375" i="2"/>
  <c r="J374" i="2"/>
  <c r="I374" i="2"/>
  <c r="G374" i="2"/>
  <c r="J373" i="2"/>
  <c r="I373" i="2"/>
  <c r="G373" i="2"/>
  <c r="J372" i="2"/>
  <c r="I372" i="2"/>
  <c r="G372" i="2"/>
  <c r="J371" i="2"/>
  <c r="I371" i="2"/>
  <c r="G371" i="2"/>
  <c r="J370" i="2"/>
  <c r="I370" i="2"/>
  <c r="G370" i="2"/>
  <c r="J369" i="2"/>
  <c r="I369" i="2"/>
  <c r="G369" i="2"/>
  <c r="J368" i="2"/>
  <c r="I368" i="2"/>
  <c r="G368" i="2"/>
  <c r="J367" i="2"/>
  <c r="I367" i="2"/>
  <c r="G367" i="2"/>
  <c r="J366" i="2"/>
  <c r="I366" i="2"/>
  <c r="G366" i="2"/>
  <c r="J365" i="2"/>
  <c r="I365" i="2"/>
  <c r="G365" i="2"/>
  <c r="J364" i="2"/>
  <c r="I364" i="2"/>
  <c r="G364" i="2"/>
  <c r="J363" i="2"/>
  <c r="I363" i="2"/>
  <c r="G363" i="2"/>
  <c r="J362" i="2"/>
  <c r="I362" i="2"/>
  <c r="G362" i="2"/>
  <c r="J361" i="2"/>
  <c r="I361" i="2"/>
  <c r="G361" i="2"/>
  <c r="J360" i="2"/>
  <c r="I360" i="2"/>
  <c r="G360" i="2"/>
  <c r="J359" i="2"/>
  <c r="I359" i="2"/>
  <c r="G359" i="2"/>
  <c r="J358" i="2"/>
  <c r="I358" i="2"/>
  <c r="G358" i="2"/>
  <c r="J357" i="2"/>
  <c r="I357" i="2"/>
  <c r="G357" i="2"/>
  <c r="J356" i="2"/>
  <c r="I356" i="2"/>
  <c r="G356" i="2"/>
  <c r="J355" i="2"/>
  <c r="I355" i="2"/>
  <c r="G355" i="2"/>
  <c r="J354" i="2"/>
  <c r="I354" i="2"/>
  <c r="G354" i="2"/>
  <c r="J353" i="2"/>
  <c r="I353" i="2"/>
  <c r="G353" i="2"/>
  <c r="J352" i="2"/>
  <c r="I352" i="2"/>
  <c r="G352" i="2"/>
  <c r="J351" i="2"/>
  <c r="I351" i="2"/>
  <c r="G351" i="2"/>
  <c r="J350" i="2"/>
  <c r="I350" i="2"/>
  <c r="G350" i="2"/>
  <c r="J349" i="2"/>
  <c r="I349" i="2"/>
  <c r="G349" i="2"/>
  <c r="J348" i="2"/>
  <c r="I348" i="2"/>
  <c r="G348" i="2"/>
  <c r="J347" i="2"/>
  <c r="I347" i="2"/>
  <c r="G347" i="2"/>
  <c r="J346" i="2"/>
  <c r="I346" i="2"/>
  <c r="G346" i="2"/>
  <c r="J345" i="2"/>
  <c r="I345" i="2"/>
  <c r="G345" i="2"/>
  <c r="J344" i="2"/>
  <c r="I344" i="2"/>
  <c r="G344" i="2"/>
  <c r="J343" i="2"/>
  <c r="I343" i="2"/>
  <c r="G343" i="2"/>
  <c r="J342" i="2"/>
  <c r="I342" i="2"/>
  <c r="G342" i="2"/>
  <c r="J341" i="2"/>
  <c r="I341" i="2"/>
  <c r="G341" i="2"/>
  <c r="J340" i="2"/>
  <c r="I340" i="2"/>
  <c r="G340" i="2"/>
  <c r="J339" i="2"/>
  <c r="I339" i="2"/>
  <c r="G339" i="2"/>
  <c r="J338" i="2"/>
  <c r="I338" i="2"/>
  <c r="G338" i="2"/>
  <c r="J337" i="2"/>
  <c r="I337" i="2"/>
  <c r="G337" i="2"/>
  <c r="J336" i="2"/>
  <c r="I336" i="2"/>
  <c r="G336" i="2"/>
  <c r="J335" i="2"/>
  <c r="I335" i="2"/>
  <c r="G335" i="2"/>
  <c r="J334" i="2"/>
  <c r="I334" i="2"/>
  <c r="G334" i="2"/>
  <c r="J333" i="2"/>
  <c r="I333" i="2"/>
  <c r="G333" i="2"/>
  <c r="J332" i="2"/>
  <c r="I332" i="2"/>
  <c r="G332" i="2"/>
  <c r="J331" i="2"/>
  <c r="I331" i="2"/>
  <c r="G331" i="2"/>
  <c r="J330" i="2"/>
  <c r="I330" i="2"/>
  <c r="G330" i="2"/>
  <c r="J329" i="2"/>
  <c r="I329" i="2"/>
  <c r="G329" i="2"/>
  <c r="J328" i="2"/>
  <c r="I328" i="2"/>
  <c r="G328" i="2"/>
  <c r="J327" i="2"/>
  <c r="I327" i="2"/>
  <c r="G327" i="2"/>
  <c r="J326" i="2"/>
  <c r="I326" i="2"/>
  <c r="G326" i="2"/>
  <c r="J325" i="2"/>
  <c r="I325" i="2"/>
  <c r="G325" i="2"/>
  <c r="J324" i="2"/>
  <c r="I324" i="2"/>
  <c r="G324" i="2"/>
  <c r="J323" i="2"/>
  <c r="I323" i="2"/>
  <c r="G323" i="2"/>
  <c r="J322" i="2"/>
  <c r="I322" i="2"/>
  <c r="G322" i="2"/>
  <c r="J321" i="2"/>
  <c r="I321" i="2"/>
  <c r="G321" i="2"/>
  <c r="J320" i="2"/>
  <c r="I320" i="2"/>
  <c r="G320" i="2"/>
  <c r="J319" i="2"/>
  <c r="I319" i="2"/>
  <c r="G319" i="2"/>
  <c r="J318" i="2"/>
  <c r="I318" i="2"/>
  <c r="G318" i="2"/>
  <c r="J317" i="2"/>
  <c r="I317" i="2"/>
  <c r="G317" i="2"/>
  <c r="J316" i="2"/>
  <c r="I316" i="2"/>
  <c r="G316" i="2"/>
  <c r="J315" i="2"/>
  <c r="I315" i="2"/>
  <c r="G315" i="2"/>
  <c r="J314" i="2"/>
  <c r="I314" i="2"/>
  <c r="G314" i="2"/>
  <c r="J313" i="2"/>
  <c r="I313" i="2"/>
  <c r="G313" i="2"/>
  <c r="J312" i="2"/>
  <c r="I312" i="2"/>
  <c r="G312" i="2"/>
  <c r="J311" i="2"/>
  <c r="I311" i="2"/>
  <c r="G311" i="2"/>
  <c r="J310" i="2"/>
  <c r="I310" i="2"/>
  <c r="G310" i="2"/>
  <c r="J309" i="2"/>
  <c r="I309" i="2"/>
  <c r="G309" i="2"/>
  <c r="J308" i="2"/>
  <c r="I308" i="2"/>
  <c r="G308" i="2"/>
  <c r="J307" i="2"/>
  <c r="I307" i="2"/>
  <c r="G307" i="2"/>
  <c r="J306" i="2"/>
  <c r="I306" i="2"/>
  <c r="G306" i="2"/>
  <c r="J305" i="2"/>
  <c r="I305" i="2"/>
  <c r="G305" i="2"/>
  <c r="J304" i="2"/>
  <c r="I304" i="2"/>
  <c r="G304" i="2"/>
  <c r="J303" i="2"/>
  <c r="I303" i="2"/>
  <c r="G303" i="2"/>
  <c r="J302" i="2"/>
  <c r="I302" i="2"/>
  <c r="G302" i="2"/>
  <c r="J301" i="2"/>
  <c r="I301" i="2"/>
  <c r="G301" i="2"/>
  <c r="J300" i="2"/>
  <c r="I300" i="2"/>
  <c r="G300" i="2"/>
  <c r="J299" i="2"/>
  <c r="I299" i="2"/>
  <c r="G299" i="2"/>
  <c r="J298" i="2"/>
  <c r="I298" i="2"/>
  <c r="G298" i="2"/>
  <c r="J297" i="2"/>
  <c r="I297" i="2"/>
  <c r="G297" i="2"/>
  <c r="J296" i="2"/>
  <c r="I296" i="2"/>
  <c r="G296" i="2"/>
  <c r="J295" i="2"/>
  <c r="I295" i="2"/>
  <c r="G295" i="2"/>
  <c r="J294" i="2"/>
  <c r="I294" i="2"/>
  <c r="G294" i="2"/>
  <c r="J293" i="2"/>
  <c r="I293" i="2"/>
  <c r="G293" i="2"/>
  <c r="J292" i="2"/>
  <c r="I292" i="2"/>
  <c r="G292" i="2"/>
  <c r="J291" i="2"/>
  <c r="I291" i="2"/>
  <c r="G291" i="2"/>
  <c r="J290" i="2"/>
  <c r="I290" i="2"/>
  <c r="G290" i="2"/>
  <c r="J289" i="2"/>
  <c r="I289" i="2"/>
  <c r="G289" i="2"/>
  <c r="J288" i="2"/>
  <c r="I288" i="2"/>
  <c r="G288" i="2"/>
  <c r="J287" i="2"/>
  <c r="I287" i="2"/>
  <c r="G287" i="2"/>
  <c r="J286" i="2"/>
  <c r="I286" i="2"/>
  <c r="G286" i="2"/>
  <c r="J285" i="2"/>
  <c r="I285" i="2"/>
  <c r="G285" i="2"/>
  <c r="J284" i="2"/>
  <c r="I284" i="2"/>
  <c r="G284" i="2"/>
  <c r="J283" i="2"/>
  <c r="I283" i="2"/>
  <c r="G283" i="2"/>
  <c r="J282" i="2"/>
  <c r="I282" i="2"/>
  <c r="G282" i="2"/>
  <c r="J281" i="2"/>
  <c r="I281" i="2"/>
  <c r="G281" i="2"/>
  <c r="J280" i="2"/>
  <c r="I280" i="2"/>
  <c r="G280" i="2"/>
  <c r="J279" i="2"/>
  <c r="I279" i="2"/>
  <c r="G279" i="2"/>
  <c r="J278" i="2"/>
  <c r="I278" i="2"/>
  <c r="G278" i="2"/>
  <c r="J277" i="2"/>
  <c r="I277" i="2"/>
  <c r="G277" i="2"/>
  <c r="J276" i="2"/>
  <c r="I276" i="2"/>
  <c r="G276" i="2"/>
  <c r="J275" i="2"/>
  <c r="I275" i="2"/>
  <c r="G275" i="2"/>
  <c r="J274" i="2"/>
  <c r="I274" i="2"/>
  <c r="G274" i="2"/>
  <c r="J273" i="2"/>
  <c r="I273" i="2"/>
  <c r="G273" i="2"/>
  <c r="J272" i="2"/>
  <c r="I272" i="2"/>
  <c r="G272" i="2"/>
  <c r="J271" i="2"/>
  <c r="I271" i="2"/>
  <c r="G271" i="2"/>
  <c r="J270" i="2"/>
  <c r="I270" i="2"/>
  <c r="G270" i="2"/>
  <c r="J269" i="2"/>
  <c r="I269" i="2"/>
  <c r="G269" i="2"/>
  <c r="J268" i="2"/>
  <c r="I268" i="2"/>
  <c r="G268" i="2"/>
  <c r="J267" i="2"/>
  <c r="I267" i="2"/>
  <c r="G267" i="2"/>
  <c r="J266" i="2"/>
  <c r="I266" i="2"/>
  <c r="G266" i="2"/>
  <c r="J265" i="2"/>
  <c r="I265" i="2"/>
  <c r="G265" i="2"/>
  <c r="J264" i="2"/>
  <c r="I264" i="2"/>
  <c r="G264" i="2"/>
  <c r="J263" i="2"/>
  <c r="I263" i="2"/>
  <c r="G263" i="2"/>
  <c r="J262" i="2"/>
  <c r="I262" i="2"/>
  <c r="G262" i="2"/>
  <c r="J261" i="2"/>
  <c r="I261" i="2"/>
  <c r="G261" i="2"/>
  <c r="J260" i="2"/>
  <c r="I260" i="2"/>
  <c r="G260" i="2"/>
  <c r="J259" i="2"/>
  <c r="I259" i="2"/>
  <c r="G259" i="2"/>
  <c r="J258" i="2"/>
  <c r="I258" i="2"/>
  <c r="G258" i="2"/>
  <c r="J257" i="2"/>
  <c r="I257" i="2"/>
  <c r="G257" i="2"/>
  <c r="J256" i="2"/>
  <c r="I256" i="2"/>
  <c r="G256" i="2"/>
  <c r="J255" i="2"/>
  <c r="I255" i="2"/>
  <c r="G255" i="2"/>
  <c r="J254" i="2"/>
  <c r="I254" i="2"/>
  <c r="G254" i="2"/>
  <c r="J253" i="2"/>
  <c r="I253" i="2"/>
  <c r="G253" i="2"/>
  <c r="J252" i="2"/>
  <c r="I252" i="2"/>
  <c r="G252" i="2"/>
  <c r="J251" i="2"/>
  <c r="I251" i="2"/>
  <c r="G251" i="2"/>
  <c r="J250" i="2"/>
  <c r="I250" i="2"/>
  <c r="G250" i="2"/>
  <c r="J249" i="2"/>
  <c r="I249" i="2"/>
  <c r="G249" i="2"/>
  <c r="J248" i="2"/>
  <c r="I248" i="2"/>
  <c r="G248" i="2"/>
  <c r="J247" i="2"/>
  <c r="I247" i="2"/>
  <c r="G247" i="2"/>
  <c r="J246" i="2"/>
  <c r="I246" i="2"/>
  <c r="G246" i="2"/>
  <c r="J245" i="2"/>
  <c r="I245" i="2"/>
  <c r="G245" i="2"/>
  <c r="J244" i="2"/>
  <c r="I244" i="2"/>
  <c r="G244" i="2"/>
  <c r="J243" i="2"/>
  <c r="I243" i="2"/>
  <c r="G243" i="2"/>
  <c r="J242" i="2"/>
  <c r="I242" i="2"/>
  <c r="G242" i="2"/>
  <c r="J241" i="2"/>
  <c r="I241" i="2"/>
  <c r="G241" i="2"/>
  <c r="J240" i="2"/>
  <c r="I240" i="2"/>
  <c r="G240" i="2"/>
  <c r="J239" i="2"/>
  <c r="I239" i="2"/>
  <c r="G239" i="2"/>
  <c r="J238" i="2"/>
  <c r="I238" i="2"/>
  <c r="G238" i="2"/>
  <c r="J237" i="2"/>
  <c r="I237" i="2"/>
  <c r="G237" i="2"/>
  <c r="J236" i="2"/>
  <c r="I236" i="2"/>
  <c r="G236" i="2"/>
  <c r="J235" i="2"/>
  <c r="I235" i="2"/>
  <c r="G235" i="2"/>
  <c r="J234" i="2"/>
  <c r="I234" i="2"/>
  <c r="G234" i="2"/>
  <c r="J233" i="2"/>
  <c r="I233" i="2"/>
  <c r="G233" i="2"/>
  <c r="J232" i="2"/>
  <c r="I232" i="2"/>
  <c r="G232" i="2"/>
  <c r="J231" i="2"/>
  <c r="I231" i="2"/>
  <c r="G231" i="2"/>
  <c r="J230" i="2"/>
  <c r="I230" i="2"/>
  <c r="G230" i="2"/>
  <c r="J229" i="2"/>
  <c r="I229" i="2"/>
  <c r="G229" i="2"/>
  <c r="J228" i="2"/>
  <c r="I228" i="2"/>
  <c r="G228" i="2"/>
  <c r="J227" i="2"/>
  <c r="I227" i="2"/>
  <c r="G227" i="2"/>
  <c r="J226" i="2"/>
  <c r="I226" i="2"/>
  <c r="G226" i="2"/>
  <c r="J225" i="2"/>
  <c r="I225" i="2"/>
  <c r="G225" i="2"/>
  <c r="J224" i="2"/>
  <c r="I224" i="2"/>
  <c r="G224" i="2"/>
  <c r="J223" i="2"/>
  <c r="I223" i="2"/>
  <c r="G223" i="2"/>
  <c r="J222" i="2"/>
  <c r="I222" i="2"/>
  <c r="G222" i="2"/>
  <c r="J221" i="2"/>
  <c r="I221" i="2"/>
  <c r="G221" i="2"/>
  <c r="J220" i="2"/>
  <c r="I220" i="2"/>
  <c r="G220" i="2"/>
  <c r="J219" i="2"/>
  <c r="I219" i="2"/>
  <c r="G219" i="2"/>
  <c r="J218" i="2"/>
  <c r="I218" i="2"/>
  <c r="G218" i="2"/>
  <c r="J217" i="2"/>
  <c r="I217" i="2"/>
  <c r="G217" i="2"/>
  <c r="J216" i="2"/>
  <c r="I216" i="2"/>
  <c r="G216" i="2"/>
  <c r="J215" i="2"/>
  <c r="I215" i="2"/>
  <c r="G215" i="2"/>
  <c r="J214" i="2"/>
  <c r="I214" i="2"/>
  <c r="G214" i="2"/>
  <c r="J213" i="2"/>
  <c r="I213" i="2"/>
  <c r="G213" i="2"/>
  <c r="J212" i="2"/>
  <c r="I212" i="2"/>
  <c r="G212" i="2"/>
  <c r="J211" i="2"/>
  <c r="I211" i="2"/>
  <c r="G211" i="2"/>
  <c r="J210" i="2"/>
  <c r="I210" i="2"/>
  <c r="G210" i="2"/>
  <c r="J209" i="2"/>
  <c r="I209" i="2"/>
  <c r="G209" i="2"/>
  <c r="J208" i="2"/>
  <c r="I208" i="2"/>
  <c r="G208" i="2"/>
  <c r="J207" i="2"/>
  <c r="I207" i="2"/>
  <c r="G207" i="2"/>
  <c r="J206" i="2"/>
  <c r="I206" i="2"/>
  <c r="G206" i="2"/>
  <c r="J205" i="2"/>
  <c r="I205" i="2"/>
  <c r="G205" i="2"/>
  <c r="J204" i="2"/>
  <c r="I204" i="2"/>
  <c r="G204" i="2"/>
  <c r="J203" i="2"/>
  <c r="I203" i="2"/>
  <c r="G203" i="2"/>
  <c r="J202" i="2"/>
  <c r="I202" i="2"/>
  <c r="G202" i="2"/>
  <c r="J201" i="2"/>
  <c r="I201" i="2"/>
  <c r="G201" i="2"/>
  <c r="J200" i="2"/>
  <c r="I200" i="2"/>
  <c r="G200" i="2"/>
  <c r="J199" i="2"/>
  <c r="I199" i="2"/>
  <c r="G199" i="2"/>
  <c r="J198" i="2"/>
  <c r="I198" i="2"/>
  <c r="G198" i="2"/>
  <c r="J197" i="2"/>
  <c r="I197" i="2"/>
  <c r="G197" i="2"/>
  <c r="J196" i="2"/>
  <c r="I196" i="2"/>
  <c r="G196" i="2"/>
  <c r="J195" i="2"/>
  <c r="I195" i="2"/>
  <c r="G195" i="2"/>
  <c r="J194" i="2"/>
  <c r="I194" i="2"/>
  <c r="G194" i="2"/>
  <c r="J193" i="2"/>
  <c r="I193" i="2"/>
  <c r="G193" i="2"/>
  <c r="J192" i="2"/>
  <c r="I192" i="2"/>
  <c r="G192" i="2"/>
  <c r="J191" i="2"/>
  <c r="I191" i="2"/>
  <c r="G191" i="2"/>
  <c r="J190" i="2"/>
  <c r="I190" i="2"/>
  <c r="G190" i="2"/>
  <c r="J189" i="2"/>
  <c r="I189" i="2"/>
  <c r="G189" i="2"/>
  <c r="J188" i="2"/>
  <c r="I188" i="2"/>
  <c r="G188" i="2"/>
  <c r="J187" i="2"/>
  <c r="I187" i="2"/>
  <c r="G187" i="2"/>
  <c r="J186" i="2"/>
  <c r="I186" i="2"/>
  <c r="G186" i="2"/>
  <c r="J185" i="2"/>
  <c r="I185" i="2"/>
  <c r="G185" i="2"/>
  <c r="J184" i="2"/>
  <c r="I184" i="2"/>
  <c r="G184" i="2"/>
  <c r="J183" i="2"/>
  <c r="I183" i="2"/>
  <c r="G183" i="2"/>
  <c r="J182" i="2"/>
  <c r="I182" i="2"/>
  <c r="G182" i="2"/>
  <c r="J181" i="2"/>
  <c r="I181" i="2"/>
  <c r="G181" i="2"/>
  <c r="J180" i="2"/>
  <c r="I180" i="2"/>
  <c r="G180" i="2"/>
  <c r="J179" i="2"/>
  <c r="I179" i="2"/>
  <c r="G179" i="2"/>
  <c r="J178" i="2"/>
  <c r="I178" i="2"/>
  <c r="G178" i="2"/>
  <c r="J177" i="2"/>
  <c r="I177" i="2"/>
  <c r="G177" i="2"/>
  <c r="J176" i="2"/>
  <c r="I176" i="2"/>
  <c r="G176" i="2"/>
  <c r="J175" i="2"/>
  <c r="I175" i="2"/>
  <c r="G175" i="2"/>
  <c r="J174" i="2"/>
  <c r="I174" i="2"/>
  <c r="G174" i="2"/>
  <c r="J173" i="2"/>
  <c r="I173" i="2"/>
  <c r="G173" i="2"/>
  <c r="J172" i="2"/>
  <c r="I172" i="2"/>
  <c r="G172" i="2"/>
  <c r="J171" i="2"/>
  <c r="I171" i="2"/>
  <c r="G171" i="2"/>
  <c r="J170" i="2"/>
  <c r="I170" i="2"/>
  <c r="G170" i="2"/>
  <c r="J169" i="2"/>
  <c r="I169" i="2"/>
  <c r="G169" i="2"/>
  <c r="J168" i="2"/>
  <c r="I168" i="2"/>
  <c r="G168" i="2"/>
  <c r="J167" i="2"/>
  <c r="I167" i="2"/>
  <c r="G167" i="2"/>
  <c r="J166" i="2"/>
  <c r="I166" i="2"/>
  <c r="G166" i="2"/>
  <c r="J165" i="2"/>
  <c r="I165" i="2"/>
  <c r="G165" i="2"/>
  <c r="J164" i="2"/>
  <c r="I164" i="2"/>
  <c r="G164" i="2"/>
  <c r="J163" i="2"/>
  <c r="I163" i="2"/>
  <c r="G163" i="2"/>
  <c r="J162" i="2"/>
  <c r="I162" i="2"/>
  <c r="G162" i="2"/>
  <c r="J161" i="2"/>
  <c r="I161" i="2"/>
  <c r="G161" i="2"/>
  <c r="J160" i="2"/>
  <c r="I160" i="2"/>
  <c r="G160" i="2"/>
  <c r="J159" i="2"/>
  <c r="I159" i="2"/>
  <c r="G159" i="2"/>
  <c r="J158" i="2"/>
  <c r="I158" i="2"/>
  <c r="G158" i="2"/>
  <c r="J157" i="2"/>
  <c r="I157" i="2"/>
  <c r="G157" i="2"/>
  <c r="J156" i="2"/>
  <c r="I156" i="2"/>
  <c r="G156" i="2"/>
  <c r="J155" i="2"/>
  <c r="I155" i="2"/>
  <c r="G155" i="2"/>
  <c r="J154" i="2"/>
  <c r="I154" i="2"/>
  <c r="G154" i="2"/>
  <c r="J153" i="2"/>
  <c r="I153" i="2"/>
  <c r="G153" i="2"/>
  <c r="J152" i="2"/>
  <c r="I152" i="2"/>
  <c r="G152" i="2"/>
  <c r="J151" i="2"/>
  <c r="I151" i="2"/>
  <c r="G151" i="2"/>
  <c r="J150" i="2"/>
  <c r="I150" i="2"/>
  <c r="G150" i="2"/>
  <c r="J149" i="2"/>
  <c r="I149" i="2"/>
  <c r="G149" i="2"/>
  <c r="J148" i="2"/>
  <c r="I148" i="2"/>
  <c r="G148" i="2"/>
  <c r="J147" i="2"/>
  <c r="I147" i="2"/>
  <c r="G147" i="2"/>
  <c r="J146" i="2"/>
  <c r="I146" i="2"/>
  <c r="G146" i="2"/>
  <c r="J145" i="2"/>
  <c r="I145" i="2"/>
  <c r="G145" i="2"/>
  <c r="J144" i="2"/>
  <c r="I144" i="2"/>
  <c r="G144" i="2"/>
  <c r="J143" i="2"/>
  <c r="I143" i="2"/>
  <c r="G143" i="2"/>
  <c r="J142" i="2"/>
  <c r="I142" i="2"/>
  <c r="G142" i="2"/>
  <c r="J141" i="2"/>
  <c r="I141" i="2"/>
  <c r="G141" i="2"/>
  <c r="J140" i="2"/>
  <c r="I140" i="2"/>
  <c r="G140" i="2"/>
  <c r="J139" i="2"/>
  <c r="I139" i="2"/>
  <c r="G139" i="2"/>
  <c r="J138" i="2"/>
  <c r="I138" i="2"/>
  <c r="G138" i="2"/>
  <c r="J137" i="2"/>
  <c r="I137" i="2"/>
  <c r="G137" i="2"/>
  <c r="J136" i="2"/>
  <c r="I136" i="2"/>
  <c r="G136" i="2"/>
  <c r="J135" i="2"/>
  <c r="I135" i="2"/>
  <c r="G135" i="2"/>
  <c r="J134" i="2"/>
  <c r="I134" i="2"/>
  <c r="G134" i="2"/>
  <c r="J133" i="2"/>
  <c r="I133" i="2"/>
  <c r="G133" i="2"/>
  <c r="J132" i="2"/>
  <c r="I132" i="2"/>
  <c r="G132" i="2"/>
  <c r="J131" i="2"/>
  <c r="I131" i="2"/>
  <c r="G131" i="2"/>
  <c r="J130" i="2"/>
  <c r="I130" i="2"/>
  <c r="G130" i="2"/>
  <c r="J129" i="2"/>
  <c r="I129" i="2"/>
  <c r="G129" i="2"/>
  <c r="J128" i="2"/>
  <c r="I128" i="2"/>
  <c r="G128" i="2"/>
  <c r="J127" i="2"/>
  <c r="I127" i="2"/>
  <c r="G127" i="2"/>
  <c r="J126" i="2"/>
  <c r="I126" i="2"/>
  <c r="G126" i="2"/>
  <c r="J125" i="2"/>
  <c r="I125" i="2"/>
  <c r="G125" i="2"/>
  <c r="J124" i="2"/>
  <c r="I124" i="2"/>
  <c r="G124" i="2"/>
  <c r="J123" i="2"/>
  <c r="I123" i="2"/>
  <c r="G123" i="2"/>
  <c r="J122" i="2"/>
  <c r="I122" i="2"/>
  <c r="G122" i="2"/>
  <c r="J121" i="2"/>
  <c r="I121" i="2"/>
  <c r="G121" i="2"/>
  <c r="J120" i="2"/>
  <c r="I120" i="2"/>
  <c r="G120" i="2"/>
  <c r="J119" i="2"/>
  <c r="I119" i="2"/>
  <c r="G119" i="2"/>
  <c r="J118" i="2"/>
  <c r="I118" i="2"/>
  <c r="G118" i="2"/>
  <c r="J117" i="2"/>
  <c r="I117" i="2"/>
  <c r="G117" i="2"/>
  <c r="J116" i="2"/>
  <c r="I116" i="2"/>
  <c r="G116" i="2"/>
  <c r="J115" i="2"/>
  <c r="I115" i="2"/>
  <c r="G115" i="2"/>
  <c r="J114" i="2"/>
  <c r="I114" i="2"/>
  <c r="G114" i="2"/>
  <c r="J113" i="2"/>
  <c r="I113" i="2"/>
  <c r="G113" i="2"/>
  <c r="J112" i="2"/>
  <c r="I112" i="2"/>
  <c r="G112" i="2"/>
  <c r="J111" i="2"/>
  <c r="I111" i="2"/>
  <c r="G111" i="2"/>
  <c r="J110" i="2"/>
  <c r="I110" i="2"/>
  <c r="G110" i="2"/>
  <c r="J109" i="2"/>
  <c r="I109" i="2"/>
  <c r="G109" i="2"/>
  <c r="J108" i="2"/>
  <c r="I108" i="2"/>
  <c r="G108" i="2"/>
  <c r="J107" i="2"/>
  <c r="I107" i="2"/>
  <c r="G107" i="2"/>
  <c r="J106" i="2"/>
  <c r="I106" i="2"/>
  <c r="G106" i="2"/>
  <c r="J105" i="2"/>
  <c r="I105" i="2"/>
  <c r="G105" i="2"/>
  <c r="J104" i="2"/>
  <c r="I104" i="2"/>
  <c r="G104" i="2"/>
  <c r="J103" i="2"/>
  <c r="I103" i="2"/>
  <c r="G103" i="2"/>
  <c r="J102" i="2"/>
  <c r="I102" i="2"/>
  <c r="G102" i="2"/>
  <c r="J101" i="2"/>
  <c r="I101" i="2"/>
  <c r="G101" i="2"/>
  <c r="J100" i="2"/>
  <c r="I100" i="2"/>
  <c r="G100" i="2"/>
  <c r="J99" i="2"/>
  <c r="I99" i="2"/>
  <c r="G99" i="2"/>
  <c r="J98" i="2"/>
  <c r="I98" i="2"/>
  <c r="G98" i="2"/>
  <c r="J97" i="2"/>
  <c r="I97" i="2"/>
  <c r="G97" i="2"/>
  <c r="J96" i="2"/>
  <c r="I96" i="2"/>
  <c r="G96" i="2"/>
  <c r="J95" i="2"/>
  <c r="I95" i="2"/>
  <c r="G95" i="2"/>
  <c r="J94" i="2"/>
  <c r="I94" i="2"/>
  <c r="G94" i="2"/>
  <c r="J93" i="2"/>
  <c r="I93" i="2"/>
  <c r="G93" i="2"/>
  <c r="J92" i="2"/>
  <c r="I92" i="2"/>
  <c r="G92" i="2"/>
  <c r="J91" i="2"/>
  <c r="I91" i="2"/>
  <c r="G91" i="2"/>
  <c r="J90" i="2"/>
  <c r="I90" i="2"/>
  <c r="G90" i="2"/>
  <c r="J89" i="2"/>
  <c r="I89" i="2"/>
  <c r="G89" i="2"/>
  <c r="J88" i="2"/>
  <c r="I88" i="2"/>
  <c r="G88" i="2"/>
  <c r="J87" i="2"/>
  <c r="I87" i="2"/>
  <c r="G87" i="2"/>
  <c r="J86" i="2"/>
  <c r="I86" i="2"/>
  <c r="G86" i="2"/>
  <c r="J85" i="2"/>
  <c r="I85" i="2"/>
  <c r="G85" i="2"/>
  <c r="J84" i="2"/>
  <c r="I84" i="2"/>
  <c r="G84" i="2"/>
  <c r="J83" i="2"/>
  <c r="I83" i="2"/>
  <c r="G83" i="2"/>
  <c r="J82" i="2"/>
  <c r="I82" i="2"/>
  <c r="G82" i="2"/>
  <c r="J81" i="2"/>
  <c r="I81" i="2"/>
  <c r="G81" i="2"/>
  <c r="J80" i="2"/>
  <c r="I80" i="2"/>
  <c r="G80" i="2"/>
  <c r="J79" i="2"/>
  <c r="I79" i="2"/>
  <c r="G79" i="2"/>
  <c r="J78" i="2"/>
  <c r="I78" i="2"/>
  <c r="G78" i="2"/>
  <c r="J77" i="2"/>
  <c r="I77" i="2"/>
  <c r="G77" i="2"/>
  <c r="J76" i="2"/>
  <c r="I76" i="2"/>
  <c r="G76" i="2"/>
  <c r="J75" i="2"/>
  <c r="I75" i="2"/>
  <c r="G75" i="2"/>
  <c r="J74" i="2"/>
  <c r="I74" i="2"/>
  <c r="G74" i="2"/>
  <c r="J73" i="2"/>
  <c r="I73" i="2"/>
  <c r="G73" i="2"/>
  <c r="J72" i="2"/>
  <c r="I72" i="2"/>
  <c r="G72" i="2"/>
  <c r="J71" i="2"/>
  <c r="I71" i="2"/>
  <c r="G71" i="2"/>
  <c r="J70" i="2"/>
  <c r="I70" i="2"/>
  <c r="G70" i="2"/>
  <c r="J69" i="2"/>
  <c r="I69" i="2"/>
  <c r="G69" i="2"/>
  <c r="J68" i="2"/>
  <c r="I68" i="2"/>
  <c r="G68" i="2"/>
  <c r="J67" i="2"/>
  <c r="I67" i="2"/>
  <c r="G67" i="2"/>
  <c r="J66" i="2"/>
  <c r="I66" i="2"/>
  <c r="G66" i="2"/>
  <c r="J65" i="2"/>
  <c r="I65" i="2"/>
  <c r="G65" i="2"/>
  <c r="J64" i="2"/>
  <c r="I64" i="2"/>
  <c r="G64" i="2"/>
  <c r="J63" i="2"/>
  <c r="I63" i="2"/>
  <c r="G63" i="2"/>
  <c r="J62" i="2"/>
  <c r="I62" i="2"/>
  <c r="G62" i="2"/>
  <c r="J61" i="2"/>
  <c r="I61" i="2"/>
  <c r="G61" i="2"/>
  <c r="J60" i="2"/>
  <c r="I60" i="2"/>
  <c r="G60" i="2"/>
  <c r="J59" i="2"/>
  <c r="I59" i="2"/>
  <c r="G59" i="2"/>
  <c r="J58" i="2"/>
  <c r="I58" i="2"/>
  <c r="G58" i="2"/>
  <c r="J57" i="2"/>
  <c r="I57" i="2"/>
  <c r="G57" i="2"/>
  <c r="J56" i="2"/>
  <c r="I56" i="2"/>
  <c r="G56" i="2"/>
  <c r="J55" i="2"/>
  <c r="I55" i="2"/>
  <c r="G55" i="2"/>
  <c r="J54" i="2"/>
  <c r="I54" i="2"/>
  <c r="G54" i="2"/>
  <c r="J53" i="2"/>
  <c r="I53" i="2"/>
  <c r="G53" i="2"/>
  <c r="J52" i="2"/>
  <c r="I52" i="2"/>
  <c r="G52" i="2"/>
  <c r="J51" i="2"/>
  <c r="I51" i="2"/>
  <c r="G51" i="2"/>
  <c r="J50" i="2"/>
  <c r="I50" i="2"/>
  <c r="G50" i="2"/>
  <c r="J49" i="2"/>
  <c r="I49" i="2"/>
  <c r="G49" i="2"/>
  <c r="J48" i="2"/>
  <c r="I48" i="2"/>
  <c r="G48" i="2"/>
  <c r="J47" i="2"/>
  <c r="I47" i="2"/>
  <c r="G47" i="2"/>
  <c r="J46" i="2"/>
  <c r="I46" i="2"/>
  <c r="G46" i="2"/>
  <c r="J45" i="2"/>
  <c r="I45" i="2"/>
  <c r="G45" i="2"/>
  <c r="J44" i="2"/>
  <c r="I44" i="2"/>
  <c r="G44" i="2"/>
  <c r="J43" i="2"/>
  <c r="I43" i="2"/>
  <c r="G43" i="2"/>
  <c r="J42" i="2"/>
  <c r="I42" i="2"/>
  <c r="G42" i="2"/>
  <c r="J41" i="2"/>
  <c r="I41" i="2"/>
  <c r="G41" i="2"/>
  <c r="J40" i="2"/>
  <c r="I40" i="2"/>
  <c r="G40" i="2"/>
  <c r="J39" i="2"/>
  <c r="I39" i="2"/>
  <c r="G39" i="2"/>
  <c r="J38" i="2"/>
  <c r="I38" i="2"/>
  <c r="G38" i="2"/>
  <c r="J37" i="2"/>
  <c r="I37" i="2"/>
  <c r="G37" i="2"/>
  <c r="J36" i="2"/>
  <c r="I36" i="2"/>
  <c r="G36" i="2"/>
  <c r="J35" i="2"/>
  <c r="I35" i="2"/>
  <c r="G35" i="2"/>
  <c r="J34" i="2"/>
  <c r="I34" i="2"/>
  <c r="G34" i="2"/>
  <c r="J33" i="2"/>
  <c r="I33" i="2"/>
  <c r="G33" i="2"/>
  <c r="J32" i="2"/>
  <c r="I32" i="2"/>
  <c r="G32" i="2"/>
  <c r="J31" i="2"/>
  <c r="I31" i="2"/>
  <c r="G31" i="2"/>
  <c r="J30" i="2"/>
  <c r="I30" i="2"/>
  <c r="G30" i="2"/>
  <c r="J29" i="2"/>
  <c r="I29" i="2"/>
  <c r="G29" i="2"/>
  <c r="J28" i="2"/>
  <c r="I28" i="2"/>
  <c r="G28" i="2"/>
  <c r="J27" i="2"/>
  <c r="I27" i="2"/>
  <c r="G27" i="2"/>
  <c r="J26" i="2"/>
  <c r="I26" i="2"/>
  <c r="G26" i="2"/>
  <c r="J25" i="2"/>
  <c r="I25" i="2"/>
  <c r="G25" i="2"/>
  <c r="J24" i="2"/>
  <c r="I24" i="2"/>
  <c r="G24" i="2"/>
  <c r="J23" i="2"/>
  <c r="I23" i="2"/>
  <c r="G23" i="2"/>
  <c r="J22" i="2"/>
  <c r="I22" i="2"/>
  <c r="G22" i="2"/>
  <c r="J21" i="2"/>
  <c r="I21" i="2"/>
  <c r="G21" i="2"/>
  <c r="J20" i="2"/>
  <c r="I20" i="2"/>
  <c r="G20" i="2"/>
  <c r="J19" i="2"/>
  <c r="I19" i="2"/>
  <c r="G19" i="2"/>
  <c r="J18" i="2"/>
  <c r="I18" i="2"/>
  <c r="G18" i="2"/>
  <c r="J17" i="2"/>
  <c r="I17" i="2"/>
  <c r="G17" i="2"/>
  <c r="J16" i="2"/>
  <c r="I16" i="2"/>
  <c r="G16" i="2"/>
  <c r="J15" i="2"/>
  <c r="I15" i="2"/>
  <c r="G15" i="2"/>
  <c r="J14" i="2"/>
  <c r="I14" i="2"/>
  <c r="G14" i="2"/>
  <c r="J13" i="2"/>
  <c r="I13" i="2"/>
  <c r="G13" i="2"/>
  <c r="J12" i="2"/>
  <c r="I12" i="2"/>
  <c r="G12" i="2"/>
  <c r="J11" i="2"/>
  <c r="I11" i="2"/>
  <c r="G11" i="2"/>
  <c r="J10" i="2"/>
  <c r="I10" i="2"/>
  <c r="G10" i="2"/>
  <c r="J9" i="2"/>
  <c r="I9" i="2"/>
  <c r="G9" i="2"/>
  <c r="J8" i="2"/>
  <c r="I8" i="2"/>
  <c r="G8" i="2"/>
  <c r="J7" i="2"/>
  <c r="I7" i="2"/>
  <c r="G7" i="2"/>
  <c r="J6" i="2"/>
  <c r="I6" i="2"/>
  <c r="G6" i="2"/>
  <c r="J5" i="2"/>
  <c r="I5" i="2"/>
  <c r="G5" i="2"/>
  <c r="J4" i="2"/>
  <c r="I4" i="2"/>
  <c r="G4" i="2"/>
  <c r="J3" i="2"/>
  <c r="I3" i="2"/>
  <c r="G3" i="2"/>
  <c r="J2" i="2"/>
  <c r="I2" i="2"/>
  <c r="G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A36DA-B67A-407A-9BE1-1BDFC2FA642E}"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<sst xmlns="http://schemas.openxmlformats.org/spreadsheetml/2006/main" count="5473" uniqueCount="1137">
  <si>
    <t>Customer Name</t>
  </si>
  <si>
    <t>State</t>
  </si>
  <si>
    <t>Product</t>
  </si>
  <si>
    <t>Units Sold</t>
  </si>
  <si>
    <t>Unit Price</t>
  </si>
  <si>
    <t>Total Sale</t>
  </si>
  <si>
    <t>Sale Date</t>
  </si>
  <si>
    <t>Sales Channel</t>
  </si>
  <si>
    <t>Order ID</t>
  </si>
  <si>
    <t>rivers</t>
  </si>
  <si>
    <t>KEYBOARD</t>
  </si>
  <si>
    <t>Online</t>
  </si>
  <si>
    <t>Allison Hill</t>
  </si>
  <si>
    <t>Lagos</t>
  </si>
  <si>
    <t>Headphones</t>
  </si>
  <si>
    <t>Wholesale</t>
  </si>
  <si>
    <t>4c636e95-025f-4543-8997-623ae0723d96</t>
  </si>
  <si>
    <t>Noah Rhodes</t>
  </si>
  <si>
    <t>Anambra</t>
  </si>
  <si>
    <t>Keyboard</t>
  </si>
  <si>
    <t>edaf3766-1b78-4ede-9a4f-fc0c9165f2ed</t>
  </si>
  <si>
    <t>Angie Henderson</t>
  </si>
  <si>
    <t>Delta</t>
  </si>
  <si>
    <t>74503887-48d9-4846-95c5-51fcfba57cc8</t>
  </si>
  <si>
    <t>Daniel Wagner</t>
  </si>
  <si>
    <t>Tablet</t>
  </si>
  <si>
    <t>8639bd41-8b15-4d94-a42d-0cd7fd359f6a</t>
  </si>
  <si>
    <t>Cristian Santos</t>
  </si>
  <si>
    <t>Oyo</t>
  </si>
  <si>
    <t>Camera</t>
  </si>
  <si>
    <t>Direct</t>
  </si>
  <si>
    <t>225aed6c-f045-4043-a3a6-8a707e710b55</t>
  </si>
  <si>
    <t>Connie Lawrence</t>
  </si>
  <si>
    <t>Rivers</t>
  </si>
  <si>
    <t>45d8a6ad-77d0-459e-8114-14f8d9df0d0e</t>
  </si>
  <si>
    <t>Abigail Shaffer</t>
  </si>
  <si>
    <t>Imo</t>
  </si>
  <si>
    <t>54a7b69b-1cd6-4b09-8f0e-6d2b315c167a</t>
  </si>
  <si>
    <t>Gina Moore</t>
  </si>
  <si>
    <t>Kano</t>
  </si>
  <si>
    <t>CAMERA</t>
  </si>
  <si>
    <t>a5f60735-757b-4b29-bb2a-a1462999394c</t>
  </si>
  <si>
    <t>Gabrielle Davis</t>
  </si>
  <si>
    <t>plateau</t>
  </si>
  <si>
    <t>039b058c-2faa-4e0b-b7f6-0cdf41dc1c60</t>
  </si>
  <si>
    <t>Ryan Munoz</t>
  </si>
  <si>
    <t>Niger</t>
  </si>
  <si>
    <t>4b86b5a1-ca6f-4ff8-964c-fbd2bc92fd81</t>
  </si>
  <si>
    <t>Monica Herrera</t>
  </si>
  <si>
    <t>Abuja</t>
  </si>
  <si>
    <t>Laptop</t>
  </si>
  <si>
    <t>Retail</t>
  </si>
  <si>
    <t>317304b5-c1dd-484a-aca5-8d95915a1c30</t>
  </si>
  <si>
    <t>Jamie Arnold</t>
  </si>
  <si>
    <t>a383889a-db2c-4ac8-9c67-83932ced3c0d</t>
  </si>
  <si>
    <t>6d7df5d0-d3b5-4af7-a7ce-378fe5a4983b</t>
  </si>
  <si>
    <t>Lisa Hensley</t>
  </si>
  <si>
    <t>Enugu</t>
  </si>
  <si>
    <t>Michele Williams</t>
  </si>
  <si>
    <t>Charger</t>
  </si>
  <si>
    <t>669d01ff-1634-425b-93f3-007383e96ef4</t>
  </si>
  <si>
    <t>Dylan Miller</t>
  </si>
  <si>
    <t>Bauchi</t>
  </si>
  <si>
    <t>CHARGER</t>
  </si>
  <si>
    <t>fb4fb88a-2f4d-4219-986b-2880ab545a15</t>
  </si>
  <si>
    <t>Brian Ramirez</t>
  </si>
  <si>
    <t>Katsina</t>
  </si>
  <si>
    <t>ef9240b6-52d7-4f10-ba3a-6e9623ff23d3</t>
  </si>
  <si>
    <t>Holly Wood</t>
  </si>
  <si>
    <t>lagos</t>
  </si>
  <si>
    <t>6231ee73-42c2-42eb-81bf-9e733f800385</t>
  </si>
  <si>
    <t>Derek Zuniga</t>
  </si>
  <si>
    <t>4459bd6e-c0f6-4229-b25d-42593c4b1eec</t>
  </si>
  <si>
    <t>Lisa Jackson</t>
  </si>
  <si>
    <t>951c25d5-4d4c-4280-9462-52e7f43ba052</t>
  </si>
  <si>
    <t>Carla Gray</t>
  </si>
  <si>
    <t>Monitor</t>
  </si>
  <si>
    <t>42f525b9-02ed-43ce-92a8-1713b90ed44b</t>
  </si>
  <si>
    <t>Margaret Hawkins DDS</t>
  </si>
  <si>
    <t>3c7e5368-b159-4847-9c0b-9b10a757cb10</t>
  </si>
  <si>
    <t>Patty Perez</t>
  </si>
  <si>
    <t>77242041-1e43-4bd2-aaf4-07f70fe76149</t>
  </si>
  <si>
    <t>Ethan Adams</t>
  </si>
  <si>
    <t>Ekiti</t>
  </si>
  <si>
    <t>LAPTOP</t>
  </si>
  <si>
    <t>afa28559-67c9-4204-a8e3-33b64e8adc4b</t>
  </si>
  <si>
    <t>Tommy Walter</t>
  </si>
  <si>
    <t>Plateau</t>
  </si>
  <si>
    <t>e346f415-e526-4a2b-ac50-ace480a52e65</t>
  </si>
  <si>
    <t>b0b6dedf-4f9c-4027-8514-4d98b41c504f</t>
  </si>
  <si>
    <t>Matthew Foster</t>
  </si>
  <si>
    <t>f0cd7f05-ea87-455e-a382-95d31e0ef546</t>
  </si>
  <si>
    <t>Judy Baker</t>
  </si>
  <si>
    <t>Kaduna</t>
  </si>
  <si>
    <t>Justin Baker</t>
  </si>
  <si>
    <t>3889936a-9d58-47e8-9e17-5b664b87959f</t>
  </si>
  <si>
    <t>Stephanie Ross</t>
  </si>
  <si>
    <t>Sokoto</t>
  </si>
  <si>
    <t>Phone</t>
  </si>
  <si>
    <t>7a6a2107-2231-4050-b515-94943818cfd3</t>
  </si>
  <si>
    <t>Zachary Hicks</t>
  </si>
  <si>
    <t>fd247c11-bf6b-4cdf-b479-7b6127372b52</t>
  </si>
  <si>
    <t>Anthony Rodriguez</t>
  </si>
  <si>
    <t>MONITOR</t>
  </si>
  <si>
    <t>b3b26337-6a74-4bb7-9fa5-e0aa9b11b530</t>
  </si>
  <si>
    <t>Rebecca Henderson</t>
  </si>
  <si>
    <t>c1e1b94a-7888-4058-a9ad-0e9b8c9aa1e9</t>
  </si>
  <si>
    <t>James Ferrell</t>
  </si>
  <si>
    <t>d35ac07a-aa02-47d0-8d4f-8b2b899ac252</t>
  </si>
  <si>
    <t>Tricia Valencia</t>
  </si>
  <si>
    <t>ae2ae341-3f59-44f2-8309-3b6e37e9d2e2</t>
  </si>
  <si>
    <t>Nathan Maldonado</t>
  </si>
  <si>
    <t>kano</t>
  </si>
  <si>
    <t>c9912032-df85-4777-9887-4bfec1369c65</t>
  </si>
  <si>
    <t>Debra Davidson</t>
  </si>
  <si>
    <t>Benue</t>
  </si>
  <si>
    <t>87365a84-725e-434d-8687-9aa914f573d0</t>
  </si>
  <si>
    <t>Jeffrey Chavez</t>
  </si>
  <si>
    <t>ead08c89-13fe-4a29-9c9d-eee0b42a0456</t>
  </si>
  <si>
    <t>Osun</t>
  </si>
  <si>
    <t>d42a895e-0fcf-401f-9cb9-b73a906d5c8c</t>
  </si>
  <si>
    <t>Sherri Baker</t>
  </si>
  <si>
    <t>33c08bf1-8167-499f-a723-ada38c32bdb2</t>
  </si>
  <si>
    <t>Cassandra Gaines</t>
  </si>
  <si>
    <t>2a1f1b61-265c-49d9-8962-8f6e929c93b3</t>
  </si>
  <si>
    <t>Elizabeth Fowler</t>
  </si>
  <si>
    <t>Brittany Farmer</t>
  </si>
  <si>
    <t>711c7673-8535-4a69-9abf-984e53ff8461</t>
  </si>
  <si>
    <t>Paula Moreno</t>
  </si>
  <si>
    <t>b787ef8d-3495-411e-ae27-d4321dc1e7eb</t>
  </si>
  <si>
    <t>Fred Smith</t>
  </si>
  <si>
    <t>imo</t>
  </si>
  <si>
    <t>e61d9cde-1747-4387-bd23-d47995492a82</t>
  </si>
  <si>
    <t>Sherry Decker</t>
  </si>
  <si>
    <t>0e3e25f2-cf06-41c7-b20b-274b82a7f586</t>
  </si>
  <si>
    <t>Anthony Humphrey</t>
  </si>
  <si>
    <t>6a5943ce-8364-45e3-a1c7-1aa3741423b5</t>
  </si>
  <si>
    <t>Angelica Tucker</t>
  </si>
  <si>
    <t>PHONE</t>
  </si>
  <si>
    <t>8f0d5540-0ec7-4662-905c-7bdd74f0beae</t>
  </si>
  <si>
    <t>Philip Cannon</t>
  </si>
  <si>
    <t>4ee4334e-ce92-4136-ac3a-812f765e6cb5</t>
  </si>
  <si>
    <t>John Pierce</t>
  </si>
  <si>
    <t>Borno</t>
  </si>
  <si>
    <t>41241bb4-655c-4508-8592-bfa5b928e23f</t>
  </si>
  <si>
    <t>Shane Henderson</t>
  </si>
  <si>
    <t>37c86152-beed-4af9-80c5-9f30d1031424</t>
  </si>
  <si>
    <t>6c776e95-0b98-4ccd-92b2-102d940c3503</t>
  </si>
  <si>
    <t>Joshua Blair</t>
  </si>
  <si>
    <t>8a89b0f0-1052-41d3-b34c-6c7358330b30</t>
  </si>
  <si>
    <t>Eric Carney</t>
  </si>
  <si>
    <t>enugu</t>
  </si>
  <si>
    <t>e4eb8000-ef40-4162-8f6c-e9bffe7ee362</t>
  </si>
  <si>
    <t>Jessica Holmes</t>
  </si>
  <si>
    <t>78d9a88a-ef0b-4a4f-bc73-7d9211ab3d11</t>
  </si>
  <si>
    <t>Danny Morgan</t>
  </si>
  <si>
    <t>Crystal Robinson</t>
  </si>
  <si>
    <t>2e13418d-68ab-40ea-897e-c6d1081fc6dc</t>
  </si>
  <si>
    <t>Mark Perez</t>
  </si>
  <si>
    <t>a43afb7a-c40d-4874-a2ab-7752c4db5a62</t>
  </si>
  <si>
    <t>Shannon Jones</t>
  </si>
  <si>
    <t>f6ba745b-a558-41e3-bab2-b77dfa740cc8</t>
  </si>
  <si>
    <t>Michael Lewis</t>
  </si>
  <si>
    <t>e42e707a-fe2b-4987-9fdc-abbf6b9cd71c</t>
  </si>
  <si>
    <t>Timothy Duncan</t>
  </si>
  <si>
    <t>eac80da1-de9f-4f5b-b2d3-545861ea2f30</t>
  </si>
  <si>
    <t>Richard Aguirre</t>
  </si>
  <si>
    <t>148b4376-602a-4e57-a0a3-99d4e821e716</t>
  </si>
  <si>
    <t>Brent Jordan</t>
  </si>
  <si>
    <t>anambra</t>
  </si>
  <si>
    <t>dfe2c0a0-a96b-4c42-b6d2-2a7baec76a82</t>
  </si>
  <si>
    <t>John Daniel</t>
  </si>
  <si>
    <t>TABLET</t>
  </si>
  <si>
    <t>dc3bbdd8-a74e-42a9-a20b-9ea98a0f9508</t>
  </si>
  <si>
    <t>fe2b34d8-2db0-428d-9e5e-be5459077299</t>
  </si>
  <si>
    <t>Victoria Garcia</t>
  </si>
  <si>
    <t>2099d180-8762-4997-a49f-7d888989c5ab</t>
  </si>
  <si>
    <t>Gerald Hensley</t>
  </si>
  <si>
    <t>d5b6de85-3902-49d9-ba8d-ae42ba54e920</t>
  </si>
  <si>
    <t>Connor West</t>
  </si>
  <si>
    <t>fa7e5d94-05d1-4b63-8194-f97f00e3a026</t>
  </si>
  <si>
    <t>Donald Wright</t>
  </si>
  <si>
    <t>b8168aeb-ac6a-4c85-b687-6c624c61845e</t>
  </si>
  <si>
    <t>Jessica Callahan</t>
  </si>
  <si>
    <t>Amber Kidd</t>
  </si>
  <si>
    <t>6118433b-882c-4d1e-ac93-a7918b60c511</t>
  </si>
  <si>
    <t>Tracy House</t>
  </si>
  <si>
    <t>katsina</t>
  </si>
  <si>
    <t>75eb89c2-3f5c-42f3-bacb-43a3d2c7bffb</t>
  </si>
  <si>
    <t>Carol Tucker</t>
  </si>
  <si>
    <t>3040413c-4690-4b15-a7b6-08dc589decb0</t>
  </si>
  <si>
    <t>James Brown</t>
  </si>
  <si>
    <t>c3f725fe-b99b-4b5a-a00d-a49deffa2002</t>
  </si>
  <si>
    <t>William Baker</t>
  </si>
  <si>
    <t>a902b73f-cf39-4648-883f-64c31ce362f8</t>
  </si>
  <si>
    <t>Jordan Henderson</t>
  </si>
  <si>
    <t>efad49e9-c41c-447e-9d6b-9b626b535a19</t>
  </si>
  <si>
    <t>Whitney Peters</t>
  </si>
  <si>
    <t>3d9c4e64-0401-4ced-a398-36bbe23ddfaa</t>
  </si>
  <si>
    <t>980cb95c-19d4-4deb-9139-fa1234c1c3ea</t>
  </si>
  <si>
    <t>Brittney Phillips</t>
  </si>
  <si>
    <t>ac09bdb7-9908-4e47-b249-f62c08987462</t>
  </si>
  <si>
    <t>Lauren Daniels</t>
  </si>
  <si>
    <t>3ea6e5b2-0c76-4d28-9f49-5037b40a9181</t>
  </si>
  <si>
    <t>Amy Silva</t>
  </si>
  <si>
    <t>delta</t>
  </si>
  <si>
    <t>705fddf5-66fa-4ca0-8b53-1932bd9419aa</t>
  </si>
  <si>
    <t>Sarah Moore</t>
  </si>
  <si>
    <t>c11f6bf5-379e-4467-8a2d-b2e63bfda8a6</t>
  </si>
  <si>
    <t>Angela Lopez</t>
  </si>
  <si>
    <t>23dfecd7-0e73-4dd7-86ac-1b04dd1d6cd1</t>
  </si>
  <si>
    <t>Megan Young</t>
  </si>
  <si>
    <t>Steve Sanchez</t>
  </si>
  <si>
    <t>3bf2025f-4a0d-4b73-be54-ee4b80ff5173</t>
  </si>
  <si>
    <t>Lisa Barnes</t>
  </si>
  <si>
    <t>937bf79b-bb44-4adc-aa98-fef8d0d75e37</t>
  </si>
  <si>
    <t>Kelly Donovan</t>
  </si>
  <si>
    <t>c5c51060-9911-41e7-93d5-63ae51a3ac26</t>
  </si>
  <si>
    <t>Mike Allen</t>
  </si>
  <si>
    <t>3ca5be29-5217-4bf3-9181-83d1ac2b0cfc</t>
  </si>
  <si>
    <t>Michael Evans</t>
  </si>
  <si>
    <t>fc568b53-24ac-4722-a052-77394d406f1b</t>
  </si>
  <si>
    <t>Paul Jones</t>
  </si>
  <si>
    <t>69df14e9-3896-41dd-8570-b59fa903ae67</t>
  </si>
  <si>
    <t>8e85140d-0f9a-4b70-8670-7cd64ceda164</t>
  </si>
  <si>
    <t>Zachary Ferrell</t>
  </si>
  <si>
    <t>bc36dc59-e134-4dfc-9777-7f10f2d2393f</t>
  </si>
  <si>
    <t>Daniel Baker</t>
  </si>
  <si>
    <t>adc29178-a041-4612-acd5-8759e95d2761</t>
  </si>
  <si>
    <t>Shirley Suarez</t>
  </si>
  <si>
    <t>Cross River</t>
  </si>
  <si>
    <t>0c00988a-7ee1-411a-8e4c-3ab56d5d0477</t>
  </si>
  <si>
    <t>Christopher Bass</t>
  </si>
  <si>
    <t>a4b05c89-f10b-4e9c-982b-91eef8e8035b</t>
  </si>
  <si>
    <t>Lisa Archer</t>
  </si>
  <si>
    <t>HEADPHONES</t>
  </si>
  <si>
    <t>86433603-c92a-4d7c-a193-5990abdd1a8f</t>
  </si>
  <si>
    <t>Aimee Montoya</t>
  </si>
  <si>
    <t>6883ac6e-6a94-4054-b241-4482519894d8</t>
  </si>
  <si>
    <t>Matthew Mcmillan</t>
  </si>
  <si>
    <t>Brian Rodriguez</t>
  </si>
  <si>
    <t>oyo</t>
  </si>
  <si>
    <t>2f12b150-605f-41eb-8cc5-7e0d26332018</t>
  </si>
  <si>
    <t>Denise Jacobs</t>
  </si>
  <si>
    <t>3db0174e-7938-478a-89b5-aab0c12169db</t>
  </si>
  <si>
    <t>Christina Walters</t>
  </si>
  <si>
    <t>db87d29c-4cfd-4fc1-b9b0-2e2ad96e684f</t>
  </si>
  <si>
    <t>John Whitehead</t>
  </si>
  <si>
    <t>7688d11f-ce47-48be-a4f4-3c62b523c0de</t>
  </si>
  <si>
    <t>Anna Henderson</t>
  </si>
  <si>
    <t>69a53b4f-8ff8-469d-8ec0-713dea2c7a51</t>
  </si>
  <si>
    <t>87ad8b26-8eaa-4841-aaa0-426df7c0d5f7</t>
  </si>
  <si>
    <t>Aaron Wise</t>
  </si>
  <si>
    <t>41476506-3e2b-49c9-a36f-6e5c2253e706</t>
  </si>
  <si>
    <t>Deborah Figueroa</t>
  </si>
  <si>
    <t>143df5b3-a58e-43dd-948c-1d84340de049</t>
  </si>
  <si>
    <t>Jessica Smith</t>
  </si>
  <si>
    <t>5efeef4f-d8dd-4bc0-b325-3aa3ec170298</t>
  </si>
  <si>
    <t>Stephen Mckee</t>
  </si>
  <si>
    <t>osun</t>
  </si>
  <si>
    <t>d453f867-b97e-4224-891f-691217abb863</t>
  </si>
  <si>
    <t>Sandra Aguilar</t>
  </si>
  <si>
    <t>608e149e-44b9-4602-8d31-812e30c36756</t>
  </si>
  <si>
    <t>Cameron Parker</t>
  </si>
  <si>
    <t>0a1fc9df-9a59-4974-9adf-4709ac75c344</t>
  </si>
  <si>
    <t>Rebecca Valencia</t>
  </si>
  <si>
    <t>cdfd9531-302b-4831-92a1-fe7ddfa59722</t>
  </si>
  <si>
    <t>Christine Wright</t>
  </si>
  <si>
    <t>Richard Henson</t>
  </si>
  <si>
    <t>abe42e7d-b96c-4163-966b-e275c2fe8954</t>
  </si>
  <si>
    <t>Marc Moore</t>
  </si>
  <si>
    <t>3579c143-7ab9-4428-b78e-65108f10d33e</t>
  </si>
  <si>
    <t>Sharon Cherry</t>
  </si>
  <si>
    <t>4d9dbaeb-553d-4625-a833-4da5de95d695</t>
  </si>
  <si>
    <t>Sierra Johnson</t>
  </si>
  <si>
    <t>363908bf-03ec-48ff-a8b3-d763f4ff3f3a</t>
  </si>
  <si>
    <t>kaduna</t>
  </si>
  <si>
    <t>bdd151b0-f64a-46ec-b0a5-648eefe9b3d0</t>
  </si>
  <si>
    <t>Evelyn Galvan</t>
  </si>
  <si>
    <t>c11bd1c4-ffe3-4366-bf33-7a151e086f20</t>
  </si>
  <si>
    <t>Sharon Cochran</t>
  </si>
  <si>
    <t>b2149062-3e1a-463e-aa18-d32c7a9a8ef5</t>
  </si>
  <si>
    <t>Richard Rodriguez</t>
  </si>
  <si>
    <t>6589ada1-345a-4934-b42a-2d939aba0f15</t>
  </si>
  <si>
    <t>Shannon Walker</t>
  </si>
  <si>
    <t>52555c75-8d55-419e-bd44-cb2cea45ba41</t>
  </si>
  <si>
    <t>Julia Torres</t>
  </si>
  <si>
    <t>775c30b5-6173-4c48-8876-9153c68813fe</t>
  </si>
  <si>
    <t>Crystal Johnson</t>
  </si>
  <si>
    <t>4ef4c34d-5bf8-4f3c-a612-9a1c889d4b76</t>
  </si>
  <si>
    <t>Garrett Lin</t>
  </si>
  <si>
    <t>e1fff6c0-8347-41da-9c11-ab6d42f5b3f5</t>
  </si>
  <si>
    <t>Diana May</t>
  </si>
  <si>
    <t>cd8563ca-193e-438d-b74c-0afa7f4d908c</t>
  </si>
  <si>
    <t>William Herrera</t>
  </si>
  <si>
    <t>Ashley Waller</t>
  </si>
  <si>
    <t>c2fa1da8-7830-4631-b8f0-188efb37afae</t>
  </si>
  <si>
    <t>Victor Baker</t>
  </si>
  <si>
    <t>340029c3-ea11-405b-91fa-cefad6f89f7a</t>
  </si>
  <si>
    <t>Jeffrey Chandler</t>
  </si>
  <si>
    <t>0bb401e7-69f7-43f1-901b-a8515ee68495</t>
  </si>
  <si>
    <t>bdc2b74b-38a5-4b49-9d34-aa1890019ed4</t>
  </si>
  <si>
    <t>Larry Dixon</t>
  </si>
  <si>
    <t>8da5d39b-42c2-4797-8426-fcc9255b30e2</t>
  </si>
  <si>
    <t>Kenneth Scott</t>
  </si>
  <si>
    <t>b852b3cd-9442-45e6-9583-1d58ef4c5119</t>
  </si>
  <si>
    <t>April Frost</t>
  </si>
  <si>
    <t>32399ffb-2704-4f25-8b91-b8cb6ae66582</t>
  </si>
  <si>
    <t>Michelle Harmon</t>
  </si>
  <si>
    <t>91ddb9bf-613d-4de9-bae2-802354720d2d</t>
  </si>
  <si>
    <t>Helen Jones</t>
  </si>
  <si>
    <t>niger</t>
  </si>
  <si>
    <t>8cf6e8b8-7fd2-48c3-bee8-2983d5574241</t>
  </si>
  <si>
    <t>Erin Edwards</t>
  </si>
  <si>
    <t>566a9ce7-af52-4b94-b186-e47aa7946320</t>
  </si>
  <si>
    <t>Michelle Evans</t>
  </si>
  <si>
    <t>7d1645a0-d253-4966-836b-9a0a41e02a89</t>
  </si>
  <si>
    <t>Jason Powell</t>
  </si>
  <si>
    <t>bd5609c4-a446-4663-b93b-17fbf76d15fd</t>
  </si>
  <si>
    <t>Cameron Fisher</t>
  </si>
  <si>
    <t>bb96f602-2b11-4c36-b5f8-e3a87d97ac0f</t>
  </si>
  <si>
    <t>Megan Orr</t>
  </si>
  <si>
    <t>Elizabeth Kelley</t>
  </si>
  <si>
    <t>23d4526b-2b54-4f7a-9a28-37b2cb8383f2</t>
  </si>
  <si>
    <t>Dustin Jordan</t>
  </si>
  <si>
    <t>2f1dc121-7d02-4c6d-8bea-75c1b86677aa</t>
  </si>
  <si>
    <t>fd85d7fa-8ac9-4b01-a3ad-64d4eab9eb02</t>
  </si>
  <si>
    <t>Mary Marshall</t>
  </si>
  <si>
    <t>borno</t>
  </si>
  <si>
    <t>862138ad-0f09-405c-b50d-7a37a44d9fec</t>
  </si>
  <si>
    <t>Daniel Kennedy</t>
  </si>
  <si>
    <t>13075157-d8c1-48e7-96cd-315508a8ac7f</t>
  </si>
  <si>
    <t>Rebecca Jackson</t>
  </si>
  <si>
    <t>0c6b7074-ab10-4c9b-9168-2e09f1f7d904</t>
  </si>
  <si>
    <t>Jose Schultz</t>
  </si>
  <si>
    <t>2332a50e-6992-496e-81a2-5ed1c3abb5f1</t>
  </si>
  <si>
    <t>Robert Potter</t>
  </si>
  <si>
    <t>116658ce-3b3f-4800-a175-a9c3d7b102a9</t>
  </si>
  <si>
    <t>Courtney Gonzalez</t>
  </si>
  <si>
    <t>37fe032c-0257-4851-a6a9-e100b509109b</t>
  </si>
  <si>
    <t>David Alvarez</t>
  </si>
  <si>
    <t>0f79a8a7-5f8a-44bd-b4bd-0c938177b661</t>
  </si>
  <si>
    <t>Angel Perry</t>
  </si>
  <si>
    <t>ef145064-aab0-4015-a342-2e509e2a7324</t>
  </si>
  <si>
    <t>Cheyenne Horton</t>
  </si>
  <si>
    <t>a8c6dbc0-7bb3-447b-a9aa-144b9dd43675</t>
  </si>
  <si>
    <t>David Douglas Jr.</t>
  </si>
  <si>
    <t>883f13c6-01b1-48e9-8406-ff447ce40679</t>
  </si>
  <si>
    <t>Patricia Rodriguez</t>
  </si>
  <si>
    <t>Christopher Rubio</t>
  </si>
  <si>
    <t>04482a22-0308-4a5e-a94d-7b008d388327</t>
  </si>
  <si>
    <t>892621df-4655-48b7-b8e1-9f568787ea21</t>
  </si>
  <si>
    <t>Amber Wright</t>
  </si>
  <si>
    <t>80913ac1-0463-450e-8964-6b96fa3c1628</t>
  </si>
  <si>
    <t>Joyce Solis</t>
  </si>
  <si>
    <t>6e3a0ba8-ac8d-4c7d-b2a6-e468d02b1243</t>
  </si>
  <si>
    <t>Victoria Larson</t>
  </si>
  <si>
    <t>2de46e91-e8e6-4840-b090-f5a0ce610199</t>
  </si>
  <si>
    <t>Stephanie Salazar</t>
  </si>
  <si>
    <t>863e1f2a-18a8-46ef-ab05-3fc41b656dab</t>
  </si>
  <si>
    <t>Kathy Rivas</t>
  </si>
  <si>
    <t>9ea9f508-3122-4592-bdb0-2235261e2555</t>
  </si>
  <si>
    <t>Stephanie Manning</t>
  </si>
  <si>
    <t>abuja</t>
  </si>
  <si>
    <t>5abca6e5-d0b1-43eb-809e-7a8086c5d1d6</t>
  </si>
  <si>
    <t>David Wright</t>
  </si>
  <si>
    <t>143a9aff-659b-4105-8b80-f288446f64dd</t>
  </si>
  <si>
    <t>Pamela Boyd</t>
  </si>
  <si>
    <t>7580e050-67f1-498c-b594-8a545f804eeb</t>
  </si>
  <si>
    <t>Denise Jones</t>
  </si>
  <si>
    <t>b27e1442-fd7f-4973-be42-df5b90a3fbbf</t>
  </si>
  <si>
    <t>Devon Flores</t>
  </si>
  <si>
    <t>d3fbe043-af1d-4a1a-8ccb-235539d1c7ff</t>
  </si>
  <si>
    <t>Brenda Hall</t>
  </si>
  <si>
    <t>fdde64af-a75b-495a-94a3-4f7fd90dd19b</t>
  </si>
  <si>
    <t>Michelle Brown</t>
  </si>
  <si>
    <t>081c79d4-c274-47eb-a65f-7b8adbb44021</t>
  </si>
  <si>
    <t>Joshua Perry</t>
  </si>
  <si>
    <t>608e2f5c-6117-4270-a7c0-518b17efa621</t>
  </si>
  <si>
    <t>Jason Stein</t>
  </si>
  <si>
    <t>a301ec03-0e5d-4c6a-b9db-78628d7dd772</t>
  </si>
  <si>
    <t>Melissa Gates</t>
  </si>
  <si>
    <t>152aeaec-2bdf-4b41-b3ed-a8f1026b5383</t>
  </si>
  <si>
    <t>Jamie Smith</t>
  </si>
  <si>
    <t>a518a418-6f14-43f6-9867-888b7ff6b824</t>
  </si>
  <si>
    <t>Paul Castaneda</t>
  </si>
  <si>
    <t>fa323f69-90db-4ad6-94ce-26bec8cce2c2</t>
  </si>
  <si>
    <t>Jennifer Adkins</t>
  </si>
  <si>
    <t>e5110961-1869-4217-b94d-8fcbdba3496f</t>
  </si>
  <si>
    <t>Lindsey Walker</t>
  </si>
  <si>
    <t>3ad1fa33-0ae4-4c11-ab4d-8f42873570a2</t>
  </si>
  <si>
    <t>Jeffrey Johnson</t>
  </si>
  <si>
    <t>b139c476-de3c-488b-a6b9-d31a361f6d90</t>
  </si>
  <si>
    <t>Michael Powell</t>
  </si>
  <si>
    <t>45667c48-79ba-430a-9118-c400e336c243</t>
  </si>
  <si>
    <t>John Anderson</t>
  </si>
  <si>
    <t>af36b8cc-1308-4974-ac95-b3ac0beb7c34</t>
  </si>
  <si>
    <t>Alyssa Long</t>
  </si>
  <si>
    <t>8b040f53-e639-49d4-87c6-8688ecf32053</t>
  </si>
  <si>
    <t>Alyssa Day</t>
  </si>
  <si>
    <t>2dea2d2d-086c-405f-a879-d8f890422eb7</t>
  </si>
  <si>
    <t>Joel Williams</t>
  </si>
  <si>
    <t>04022b3c-5082-41a5-99b5-9f84edc3a1c3</t>
  </si>
  <si>
    <t>Daniel Murphy</t>
  </si>
  <si>
    <t>24e9bcfd-9647-4f9f-b508-507af622d842</t>
  </si>
  <si>
    <t>Jamie Walton</t>
  </si>
  <si>
    <t>d226a8b3-b674-410d-9218-c9d6c093bfb0</t>
  </si>
  <si>
    <t>Darlene Miller</t>
  </si>
  <si>
    <t>4c9d6907-13b2-4cec-adca-bf9465f6ba53</t>
  </si>
  <si>
    <t>Joshua Cooke</t>
  </si>
  <si>
    <t>9112fbc0-3d8f-45f4-905f-9096299656e2</t>
  </si>
  <si>
    <t>Matthew Harrington</t>
  </si>
  <si>
    <t>ad5229dd-639f-4471-9975-0f00d5aba8ae</t>
  </si>
  <si>
    <t>Nicole Herring</t>
  </si>
  <si>
    <t>6243bed7-54ec-4f33-8a62-4cbde582b678</t>
  </si>
  <si>
    <t>Alex Hernandez</t>
  </si>
  <si>
    <t>ca5e151b-23d3-4d4c-bd5f-f093c16f9bcc</t>
  </si>
  <si>
    <t>Michael Elliott</t>
  </si>
  <si>
    <t>1413d64d-b962-48a7-b076-a7dcfd0ce433</t>
  </si>
  <si>
    <t>Michael Wang</t>
  </si>
  <si>
    <t>588a3f87-f96d-40f8-bed6-3da08033f5c2</t>
  </si>
  <si>
    <t>Lawrence Adkins</t>
  </si>
  <si>
    <t>3b6dca0d-6fe5-440b-9901-ef870dbf0caf</t>
  </si>
  <si>
    <t>Robert Oconnell</t>
  </si>
  <si>
    <t>9aec56a8-5731-4609-9375-ee90d6b361e4</t>
  </si>
  <si>
    <t>9879cf35-f471-4986-9d26-4599c4dd8df5</t>
  </si>
  <si>
    <t>Alexander Collins</t>
  </si>
  <si>
    <t>Tina Sanders</t>
  </si>
  <si>
    <t>538d6b8c-c607-41e9-b80b-2cea658e54a2</t>
  </si>
  <si>
    <t>Angela Vaughn</t>
  </si>
  <si>
    <t>c8969c5b-45f8-428d-a255-e1bb07958c1f</t>
  </si>
  <si>
    <t>Ashley Barton</t>
  </si>
  <si>
    <t>3a67470c-7d98-402f-b357-41e5fe1a1ba9</t>
  </si>
  <si>
    <t>Lindsay Martinez</t>
  </si>
  <si>
    <t>601bfbcb-f0ee-4cce-8d93-e14a5b167158</t>
  </si>
  <si>
    <t>Dr. Hannah Patterson</t>
  </si>
  <si>
    <t>95fbe976-ae00-4b7e-af8c-83e56e8d9644</t>
  </si>
  <si>
    <t>Jonathan Peterson</t>
  </si>
  <si>
    <t>c5acc354-15f0-4cb4-a14c-721da921cb4c</t>
  </si>
  <si>
    <t>Samantha Garcia</t>
  </si>
  <si>
    <t>3f175534-cc4d-4819-8b9d-fd589e5d9c7a</t>
  </si>
  <si>
    <t>Madison Poole</t>
  </si>
  <si>
    <t>4499d0a6-1500-4170-92d1-5585b68e47fa</t>
  </si>
  <si>
    <t>Jessica Gross</t>
  </si>
  <si>
    <t>c8ad0899-b630-494d-a147-adeb277b0667</t>
  </si>
  <si>
    <t>Debra Morton</t>
  </si>
  <si>
    <t>63be441d-bd5a-4c9e-a77e-b0aaa247541d</t>
  </si>
  <si>
    <t>Karen Graham</t>
  </si>
  <si>
    <t>bauchi</t>
  </si>
  <si>
    <t>176de21f-1b46-4bdc-9c56-d9bc5111d31d</t>
  </si>
  <si>
    <t>71da35b9-4eea-4db8-b165-d77901547950</t>
  </si>
  <si>
    <t>Debra Christian</t>
  </si>
  <si>
    <t>1a2bd69c-450f-49ee-82e7-9a985c238d8d</t>
  </si>
  <si>
    <t>Angelica Keith</t>
  </si>
  <si>
    <t>John Bishop</t>
  </si>
  <si>
    <t>6e54ac6d-2ff8-487e-9659-1c8921ebfaa9</t>
  </si>
  <si>
    <t>Allen Rosales</t>
  </si>
  <si>
    <t>832f52c4-8e03-40cf-8e96-922772e76b51</t>
  </si>
  <si>
    <t>Daniel Salinas</t>
  </si>
  <si>
    <t>16f142a2-06b9-49aa-9a71-67c768759545</t>
  </si>
  <si>
    <t>Spencer Haynes</t>
  </si>
  <si>
    <t>98d00c2c-17d3-4f32-8de1-596c5a9a206a</t>
  </si>
  <si>
    <t>Adam Vaughan</t>
  </si>
  <si>
    <t>dd1ca267-530d-4da6-88d0-f9e5991965ea</t>
  </si>
  <si>
    <t>Nathan Freeman</t>
  </si>
  <si>
    <t>cross river</t>
  </si>
  <si>
    <t>69ef74e3-4ab6-421c-8328-c136629ef3d8</t>
  </si>
  <si>
    <t>Melissa Brewer</t>
  </si>
  <si>
    <t>b98f5dbe-15ae-4e0f-8777-a07f6346d4ef</t>
  </si>
  <si>
    <t>Ricky Davis II</t>
  </si>
  <si>
    <t>fe2390f3-e7bb-4efc-8f3d-c97fe6b0da0a</t>
  </si>
  <si>
    <t>Elizabeth Perkins</t>
  </si>
  <si>
    <t>85671b58-926b-4fa5-be24-5fbffa698cd2</t>
  </si>
  <si>
    <t>Joseph Coleman</t>
  </si>
  <si>
    <t>2b64777c-6177-4771-af70-de702b69c95e</t>
  </si>
  <si>
    <t>44b64ec1-4d16-4049-84d7-df9a238b05b7</t>
  </si>
  <si>
    <t>Erin Warner</t>
  </si>
  <si>
    <t>2ace1aa9-1032-46b3-a55b-fc1c7e3d5ee4</t>
  </si>
  <si>
    <t>David Martinez</t>
  </si>
  <si>
    <t>4cbc9044-6bcd-4ce7-86a5-6fe86f46f1b1</t>
  </si>
  <si>
    <t>Bryan Herrera</t>
  </si>
  <si>
    <t>Cathy Robinson</t>
  </si>
  <si>
    <t>5c72aebd-13b1-4e59-885c-d7147bf69552</t>
  </si>
  <si>
    <t>Dr. William Warren</t>
  </si>
  <si>
    <t>b88cddde-3f20-46c2-b1b8-8d65406f64d6</t>
  </si>
  <si>
    <t>Brian Lee</t>
  </si>
  <si>
    <t>9dde0188-9803-422e-beec-e88da002352a</t>
  </si>
  <si>
    <t>Christopher Smith</t>
  </si>
  <si>
    <t>22af711f-1b62-4a9d-b536-6b9f320f72c0</t>
  </si>
  <si>
    <t>Denise Mccann</t>
  </si>
  <si>
    <t>654c11d9-f2e6-4828-81bb-819c4dfe1117</t>
  </si>
  <si>
    <t>Melissa Martinez</t>
  </si>
  <si>
    <t>614077d3-9ec4-4a48-9773-f98d550c2fe9</t>
  </si>
  <si>
    <t>Katherine Salas</t>
  </si>
  <si>
    <t>70b27304-545c-488d-9cb9-075ecdd7f460</t>
  </si>
  <si>
    <t>Julie Alexander</t>
  </si>
  <si>
    <t>d2d33488-d0c3-4018-ae3c-dd4f55b145e4</t>
  </si>
  <si>
    <t>Anthony Everett</t>
  </si>
  <si>
    <t>982a2277-f966-459f-a6aa-59e5dc08bf29</t>
  </si>
  <si>
    <t>9a6c0db9-5217-4c88-8ce9-53a722d90db3</t>
  </si>
  <si>
    <t>Rodney Morales</t>
  </si>
  <si>
    <t>7aa061e9-336b-40cb-b1fe-ad13f280df1d</t>
  </si>
  <si>
    <t>Mark Brown</t>
  </si>
  <si>
    <t>65f30779-f6ee-4cdb-ad79-a2d1506e50c7</t>
  </si>
  <si>
    <t>Justin Torres</t>
  </si>
  <si>
    <t>bc20b9f2-4a9c-489e-91b3-0182f7fe604f</t>
  </si>
  <si>
    <t>Bailey Duran DDS</t>
  </si>
  <si>
    <t>Courtney Mills</t>
  </si>
  <si>
    <t>f7bf5244-7db2-47aa-a205-e54fb1e8c09d</t>
  </si>
  <si>
    <t>Jeremy Dalton</t>
  </si>
  <si>
    <t>536d47d7-3e0f-44ce-882f-78fd936cd31c</t>
  </si>
  <si>
    <t>Elizabeth Oliver DDS</t>
  </si>
  <si>
    <t>c92e8c93-d105-48d6-87c1-c01760452909</t>
  </si>
  <si>
    <t>Theresa Clark</t>
  </si>
  <si>
    <t>ee9bf3e1-1d27-409a-9d71-a89864976593</t>
  </si>
  <si>
    <t>Matthew Moore</t>
  </si>
  <si>
    <t>ekiti</t>
  </si>
  <si>
    <t>ff4cc10f-979c-40cf-b326-1887905881df</t>
  </si>
  <si>
    <t>Benjamin Smith</t>
  </si>
  <si>
    <t>c4829b71-ae84-481c-ae0f-b5b38bae591e</t>
  </si>
  <si>
    <t>Kirk Carter</t>
  </si>
  <si>
    <t>ba2aa7ba-f3f8-4c31-86e3-f9498cd34c62</t>
  </si>
  <si>
    <t>Michael Warner</t>
  </si>
  <si>
    <t>35ab8466-b557-4b00-b166-cdcf762cdfbc</t>
  </si>
  <si>
    <t>d4cee27c-4a94-4e9f-8c35-1e4f703e957f</t>
  </si>
  <si>
    <t>Michael Bradshaw</t>
  </si>
  <si>
    <t>d908a121-d1a7-4a20-91b4-61e9b15da72d</t>
  </si>
  <si>
    <t>Lori Guerrero</t>
  </si>
  <si>
    <t>ac484366-68bd-40d7-8b88-1c32cbb02a8b</t>
  </si>
  <si>
    <t>Jessica Stephens</t>
  </si>
  <si>
    <t>4d8670bd-a222-4f96-a3a1-3e207fd255ee</t>
  </si>
  <si>
    <t>Susan Serrano</t>
  </si>
  <si>
    <t>2775ee42-a89e-42f2-80af-bf3f3df51967</t>
  </si>
  <si>
    <t>Christopher Parker</t>
  </si>
  <si>
    <t>Laura Roberts</t>
  </si>
  <si>
    <t>6082786f-ca00-4f58-ac52-1d13b719bb68</t>
  </si>
  <si>
    <t>Michael Lyons</t>
  </si>
  <si>
    <t>9912316a-fd9e-4e20-b2f6-095812ef6101</t>
  </si>
  <si>
    <t>Kathryn Snyder</t>
  </si>
  <si>
    <t>88cc4d49-669b-49b8-950d-f1a07aaf2001</t>
  </si>
  <si>
    <t>Andrew Reynolds</t>
  </si>
  <si>
    <t>dea050c6-eb9e-4274-ac6a-37ad81b15db9</t>
  </si>
  <si>
    <t>David Davis</t>
  </si>
  <si>
    <t>09697101-8b2c-450a-ab15-c11bb113d50b</t>
  </si>
  <si>
    <t>Sara Johnston</t>
  </si>
  <si>
    <t>b39e4df2-5c0a-4feb-b7ea-e66eca6caf9b</t>
  </si>
  <si>
    <t>Yvonne Chambers</t>
  </si>
  <si>
    <t>98049562-8972-4bbd-8ff2-b1c4e53f9644</t>
  </si>
  <si>
    <t>1bffa279-15c1-404f-aa16-3354a35fc9c1</t>
  </si>
  <si>
    <t>Andrew Avila</t>
  </si>
  <si>
    <t>aa2960fd-a858-44df-bf8c-1097c4da2c2e</t>
  </si>
  <si>
    <t>Matthew Moon</t>
  </si>
  <si>
    <t>9cd8758b-a5a1-4825-aa95-28c35ae1dbad</t>
  </si>
  <si>
    <t>Kevin Walters</t>
  </si>
  <si>
    <t>a520c3d0-fbcd-4f5e-902f-34650b570720</t>
  </si>
  <si>
    <t>Brandon Bailey MD</t>
  </si>
  <si>
    <t>f780ef2f-664d-4922-a590-fd3cad6ecc57</t>
  </si>
  <si>
    <t>Shannon Rivera</t>
  </si>
  <si>
    <t>cbd5cc86-f739-46e9-94e3-8579c0afd193</t>
  </si>
  <si>
    <t>Donna Landry</t>
  </si>
  <si>
    <t>Krista Gibson</t>
  </si>
  <si>
    <t>193e4783-02b3-4254-9b1f-2eb16e3255a8</t>
  </si>
  <si>
    <t>Frank Cordova</t>
  </si>
  <si>
    <t>bf31c29f-82bb-4d84-b8d5-101f423cad9d</t>
  </si>
  <si>
    <t>Jose Travis</t>
  </si>
  <si>
    <t>b00ac64c-949c-48d4-8ed8-a80d84cfee39</t>
  </si>
  <si>
    <t>Kimberly Gutierrez</t>
  </si>
  <si>
    <t>5fc64cd0-721e-4b1f-b895-89399342a09f</t>
  </si>
  <si>
    <t>Isaiah Avila</t>
  </si>
  <si>
    <t>adf75924-c5b8-486b-b68b-4f7e64215e66</t>
  </si>
  <si>
    <t>Olivia Harris</t>
  </si>
  <si>
    <t>2697384d-801e-4690-b0c0-7fcc96add4df</t>
  </si>
  <si>
    <t>7b96e2d1-0649-4cf6-bf69-723d584fc85b</t>
  </si>
  <si>
    <t>Tanya Kim</t>
  </si>
  <si>
    <t>eba900e1-6a7d-4d96-8ba1-72331ac3bf31</t>
  </si>
  <si>
    <t>Barbara Dudley</t>
  </si>
  <si>
    <t>d4d13d55-1db6-4844-95fa-9483f633cc2d</t>
  </si>
  <si>
    <t>Cynthia Moore</t>
  </si>
  <si>
    <t>592c1107-2444-4301-baeb-286bf0d0270f</t>
  </si>
  <si>
    <t>Kristen Davis</t>
  </si>
  <si>
    <t>c8c5eb2a-7490-4deb-97d3-37d34fd80bbb</t>
  </si>
  <si>
    <t>Susan Murray MD</t>
  </si>
  <si>
    <t>592a3549-7ba1-49d0-8567-c80534f541c0</t>
  </si>
  <si>
    <t>Kathleen Moran</t>
  </si>
  <si>
    <t>sokoto</t>
  </si>
  <si>
    <t>b8d49848-702b-449f-98fd-d2b979e5c9aa</t>
  </si>
  <si>
    <t>Denise Davenport</t>
  </si>
  <si>
    <t>Mrs. Kristen Reyes</t>
  </si>
  <si>
    <t>1132567c-51a4-4d2a-b3d3-9457b25f13df</t>
  </si>
  <si>
    <t>Katie Suarez</t>
  </si>
  <si>
    <t>b5f59cb0-cf68-4878-8b70-59334cde1b6b</t>
  </si>
  <si>
    <t>Desiree Tyler</t>
  </si>
  <si>
    <t>57d3f4dd-d963-4c72-85c8-234b1d763a66</t>
  </si>
  <si>
    <t>Timothy Romero</t>
  </si>
  <si>
    <t>ccd015c1-ad59-40dd-9bff-3142a5e15b55</t>
  </si>
  <si>
    <t>Diane Evans</t>
  </si>
  <si>
    <t>bd90b81a-fbe0-46b8-ae0f-65a82a131c1f</t>
  </si>
  <si>
    <t>8d49fe3f-2ca8-4783-8418-2d353e711433</t>
  </si>
  <si>
    <t>Yvonne Burns</t>
  </si>
  <si>
    <t>6d268b37-8f52-42d3-94bb-bcf828fea761</t>
  </si>
  <si>
    <t>Joshua Reed</t>
  </si>
  <si>
    <t>cc39b925-3b5a-4288-b649-2e64f55dce6d</t>
  </si>
  <si>
    <t>Kimberly Gibson</t>
  </si>
  <si>
    <t>2fb70dab-2f38-4b43-a137-f8e467b13040</t>
  </si>
  <si>
    <t>Colin Terry</t>
  </si>
  <si>
    <t>6544e313-6ea0-4d13-a845-54c3a3f66c61</t>
  </si>
  <si>
    <t>Cynthia Rowe</t>
  </si>
  <si>
    <t>e212ab7c-9d36-4cb6-bcc5-7be00779250a</t>
  </si>
  <si>
    <t>Patrick Thornton</t>
  </si>
  <si>
    <t>6df72cd3-979a-4051-b317-591a3283daa4</t>
  </si>
  <si>
    <t>Jasmin Alvarado</t>
  </si>
  <si>
    <t>36fce0ac-b469-4db3-8123-a348638abdf6</t>
  </si>
  <si>
    <t>Veronica Simpson</t>
  </si>
  <si>
    <t>Jonathan Lawrence</t>
  </si>
  <si>
    <t>b4299924-c098-4750-8741-9b4834ae4abd</t>
  </si>
  <si>
    <t>Shelly Alexander</t>
  </si>
  <si>
    <t>93cd1291-1004-4d82-8bc7-2f1acf08ea54</t>
  </si>
  <si>
    <t>Joyce Bowen</t>
  </si>
  <si>
    <t>89718eea-df3a-498a-8cac-2fb51a0c6c04</t>
  </si>
  <si>
    <t>327375bf-5373-4f4d-9da4-9cb92fdc9992</t>
  </si>
  <si>
    <t>abb316a7-4329-4780-9d2c-272175220646</t>
  </si>
  <si>
    <t>Wayne Morgan</t>
  </si>
  <si>
    <t>f7464c02-8718-44c1-bd4e-d26edcd5bfae</t>
  </si>
  <si>
    <t>Marie Christian</t>
  </si>
  <si>
    <t>637ddcd6-98d3-448b-903b-4078a39c9ec6</t>
  </si>
  <si>
    <t>Shannon James</t>
  </si>
  <si>
    <t>1d3e503a-9645-40e4-a47d-c3929c7eb575</t>
  </si>
  <si>
    <t>Nathan Malone</t>
  </si>
  <si>
    <t>753659ef-d873-4ad9-9a1b-af0e591196dc</t>
  </si>
  <si>
    <t>Amanda Jones</t>
  </si>
  <si>
    <t>ac7051d1-d051-467f-ac2a-c34b9e0b7b01</t>
  </si>
  <si>
    <t>Tammie Bright</t>
  </si>
  <si>
    <t>eb2ec80e-4c25-4823-8cf4-ffb0b4bba73f</t>
  </si>
  <si>
    <t>Jessica Garcia</t>
  </si>
  <si>
    <t>ac0f6801-15b2-4e1d-9715-46339d4edb71</t>
  </si>
  <si>
    <t>Shelia Wallace</t>
  </si>
  <si>
    <t>3d131a3d-1e2c-4e7d-902c-f0ee224a66a6</t>
  </si>
  <si>
    <t>Stephanie Williams</t>
  </si>
  <si>
    <t>Elaine Brooks</t>
  </si>
  <si>
    <t>5f90fc87-2edc-417e-9df0-5d184e2d6255</t>
  </si>
  <si>
    <t>Joseph Knight</t>
  </si>
  <si>
    <t>63725424-82c5-4b21-a430-12dab1850eb8</t>
  </si>
  <si>
    <t>Carolyn Miller</t>
  </si>
  <si>
    <t>93267d25-234b-4562-98af-5cca6b11b7cb</t>
  </si>
  <si>
    <t>7c966b55-2f8d-4ded-ac4c-450b623ad0fc</t>
  </si>
  <si>
    <t>Lisa Allen</t>
  </si>
  <si>
    <t>eb4e2281-b184-41fc-8991-b01aa2b03c4b</t>
  </si>
  <si>
    <t>Briana Murray</t>
  </si>
  <si>
    <t>2c591da8-fff9-4acf-ae42-05eea52fc3ec</t>
  </si>
  <si>
    <t>David Smith</t>
  </si>
  <si>
    <t>49f1137d-7d59-4e19-aab7-b2ef8e0ec033</t>
  </si>
  <si>
    <t>Stephanie Byrd</t>
  </si>
  <si>
    <t>d78c57d3-5088-40d3-afe5-b14023ea7956</t>
  </si>
  <si>
    <t>Jeremy Reed</t>
  </si>
  <si>
    <t>dd92dd7c-0db9-47a9-9e91-a71c7374ccbf</t>
  </si>
  <si>
    <t>Margaret Coleman</t>
  </si>
  <si>
    <t>7c0f549d-0274-4f73-b3ab-ea0d5be9fdb3</t>
  </si>
  <si>
    <t>Ryan Gonzalez</t>
  </si>
  <si>
    <t>624a2a50-d0b1-4de0-b1f3-f0c022f3f068</t>
  </si>
  <si>
    <t>John Young</t>
  </si>
  <si>
    <t>a72f947d-8164-42cb-8fc3-d7d3f6bd80c7</t>
  </si>
  <si>
    <t>Laura Haney</t>
  </si>
  <si>
    <t>7de1bf5d-af48-47f0-a8bd-075b7eb6581e</t>
  </si>
  <si>
    <t>William Barrett</t>
  </si>
  <si>
    <t>Keith Jennings</t>
  </si>
  <si>
    <t>71a0449d-d703-462f-b5cb-e3f56a66c184</t>
  </si>
  <si>
    <t>Amber Obrien</t>
  </si>
  <si>
    <t>90bde900-1529-46f5-aad1-1fe87d1b695e</t>
  </si>
  <si>
    <t>38749f3c-c2d4-4b56-8bbe-d98007e67cb0</t>
  </si>
  <si>
    <t>Tanner Mitchell DDS</t>
  </si>
  <si>
    <t>398f569b-465c-42cb-885e-b4894ac66780</t>
  </si>
  <si>
    <t>Heather Fields</t>
  </si>
  <si>
    <t>c7de96ea-2b0f-4e44-89e6-4c2289a0b7eb</t>
  </si>
  <si>
    <t>Megan Le</t>
  </si>
  <si>
    <t>c5c5ae8a-be15-4d12-90ce-77e9751303b9</t>
  </si>
  <si>
    <t>Sara Fuller</t>
  </si>
  <si>
    <t>82c42e48-8cba-4ae5-becc-daf4c4134dc2</t>
  </si>
  <si>
    <t>Maria Parker</t>
  </si>
  <si>
    <t>44945e09-1d3c-45a4-929d-63771cfb655f</t>
  </si>
  <si>
    <t>Kevin Oconnor</t>
  </si>
  <si>
    <t>fdab3441-d2c2-4960-8b09-01abc66dceb3</t>
  </si>
  <si>
    <t>Edward Burgess</t>
  </si>
  <si>
    <t>c1bcbe59-d296-412d-8ac3-5ac45deaa737</t>
  </si>
  <si>
    <t>Carlos Ryan</t>
  </si>
  <si>
    <t>70fd6672-b80f-46c5-828f-a16b0aa6fcb9</t>
  </si>
  <si>
    <t>Kiara Mcintyre</t>
  </si>
  <si>
    <t>6cd6f011-fd61-413b-b7f2-5d368bddcee3</t>
  </si>
  <si>
    <t>Dawn Summers</t>
  </si>
  <si>
    <t>a757075b-d47f-43b1-bc69-c1551a37f6bd</t>
  </si>
  <si>
    <t>Dr. Paul Morgan</t>
  </si>
  <si>
    <t>Victor Taylor</t>
  </si>
  <si>
    <t>dff389aa-4c36-470c-bf5e-3b8cc0582da5</t>
  </si>
  <si>
    <t>4347dbca-7321-48b2-8840-405affd2f491</t>
  </si>
  <si>
    <t>Shannon Ramsey</t>
  </si>
  <si>
    <t>164484a0-d115-4fff-9cb9-1d5f593c572b</t>
  </si>
  <si>
    <t>Tracy Ballard</t>
  </si>
  <si>
    <t>1e0d02b5-fe74-42cd-9d83-ad037066e289</t>
  </si>
  <si>
    <t>Richard Smith</t>
  </si>
  <si>
    <t>35ba9357-3ca8-4f31-8fd7-f3b9c68fcba5</t>
  </si>
  <si>
    <t>Jordan Chambers</t>
  </si>
  <si>
    <t>b06b0f0c-9682-4e22-bcd4-344fcf8a368e</t>
  </si>
  <si>
    <t>Lauren Carson</t>
  </si>
  <si>
    <t>9c3a1e0b-b5f3-48aa-9c6d-afff59c2f153</t>
  </si>
  <si>
    <t>Ashley Hall</t>
  </si>
  <si>
    <t>9dbc15c0-2a7d-457c-ad9c-5b50a1fd4187</t>
  </si>
  <si>
    <t>Stephen Hoffman</t>
  </si>
  <si>
    <t>d0437e4c-34e5-4699-88eb-e27a23a4e70e</t>
  </si>
  <si>
    <t>Connie Brown</t>
  </si>
  <si>
    <t>91f0647d-0f32-4333-8e31-593734fa32b6</t>
  </si>
  <si>
    <t>Susan Turner</t>
  </si>
  <si>
    <t>98cbaa52-47f5-4019-8843-8de259cf0b0d</t>
  </si>
  <si>
    <t>Charles Shah</t>
  </si>
  <si>
    <t>fa9fc10e-52da-4681-ab1a-c76c89ecbc51</t>
  </si>
  <si>
    <t>Johnathan Davis</t>
  </si>
  <si>
    <t>929ecc92-4a11-4e44-8aea-1b8fb43cde0a</t>
  </si>
  <si>
    <t>Brandy Chavez</t>
  </si>
  <si>
    <t>83b0b35c-dba6-4df8-b3d0-4ffb44709848</t>
  </si>
  <si>
    <t>Natalie Bautista</t>
  </si>
  <si>
    <t>d0afb235-ade6-4f51-a670-93a0fc48f615</t>
  </si>
  <si>
    <t>Patrick Moore</t>
  </si>
  <si>
    <t>c0062b5b-f678-49b2-a2b5-f4571860ad28</t>
  </si>
  <si>
    <t>Brett Burns</t>
  </si>
  <si>
    <t>0f2d5c15-eb34-4d3a-a95e-5ea9c9230c64</t>
  </si>
  <si>
    <t>Trevor Johnson</t>
  </si>
  <si>
    <t>a7e8d18e-ddf6-44ac-86fe-acd4fe1393cd</t>
  </si>
  <si>
    <t>Jeremy Sampson</t>
  </si>
  <si>
    <t>21f8072d-ddb7-470e-b390-b059207bbe21</t>
  </si>
  <si>
    <t>Ariana Jennings</t>
  </si>
  <si>
    <t>5274ee11-b61d-4906-a570-35db3fead90a</t>
  </si>
  <si>
    <t>Vanessa Howard</t>
  </si>
  <si>
    <t>d7f34368-c2ef-4ecb-bf5f-bf4fd4176230</t>
  </si>
  <si>
    <t>Colton Martinez</t>
  </si>
  <si>
    <t>24655c39-7d4d-4add-a488-0945ad1db537</t>
  </si>
  <si>
    <t>Jordan Bates</t>
  </si>
  <si>
    <t>a0b85755-44ca-45a2-a1e5-18a293d228d4</t>
  </si>
  <si>
    <t>Linda Smith</t>
  </si>
  <si>
    <t>135508d0-73b5-4ad5-a00b-4b356a0aa7d5</t>
  </si>
  <si>
    <t>Dana Martinez</t>
  </si>
  <si>
    <t>c4d598f7-e14f-4093-8b6a-d0c7a2356dd4</t>
  </si>
  <si>
    <t>Andrea Hubbard</t>
  </si>
  <si>
    <t>bff30c8d-83ff-4e96-a721-3a7017d50f59</t>
  </si>
  <si>
    <t>Daniel Kane</t>
  </si>
  <si>
    <t>e097dedb-efb3-4939-b1d8-18874739cc7b</t>
  </si>
  <si>
    <t>Charles Lester</t>
  </si>
  <si>
    <t>7cf07bb3-f343-49eb-b466-ef025e7b72c8</t>
  </si>
  <si>
    <t>Scott Thomas</t>
  </si>
  <si>
    <t>de70bd30-00a2-4367-94fb-09f053c93ae7</t>
  </si>
  <si>
    <t>David Thompson</t>
  </si>
  <si>
    <t>17d821b8-bb93-4d40-98df-f535c62dbaea</t>
  </si>
  <si>
    <t>Allison Smith</t>
  </si>
  <si>
    <t>a284e8fd-755c-4e2a-b8de-d777bb1e5ae8</t>
  </si>
  <si>
    <t>Cynthia Morris</t>
  </si>
  <si>
    <t>d9a09007-5bb4-4c18-b281-87c4aa055442</t>
  </si>
  <si>
    <t>Anthony Harmon</t>
  </si>
  <si>
    <t>65d0b517-88d0-4abd-8bb1-8c791036708d</t>
  </si>
  <si>
    <t>Nichole Alvarez</t>
  </si>
  <si>
    <t>d3293724-6dfd-471a-b7d7-465d37c3b3c9</t>
  </si>
  <si>
    <t>Kayla Rodriguez</t>
  </si>
  <si>
    <t>52a74a41-44be-4486-bea5-a387363be5cb</t>
  </si>
  <si>
    <t>Theresa Williams</t>
  </si>
  <si>
    <t>8c1c8b05-5677-4f36-8899-8e5fd40e53ce</t>
  </si>
  <si>
    <t>Sharon Boyd</t>
  </si>
  <si>
    <t>da385db5-90ee-4067-a16e-9fe593f37596</t>
  </si>
  <si>
    <t>Victor Brown</t>
  </si>
  <si>
    <t>e4e751de-57ff-41d9-89ce-44bd7c3f1add</t>
  </si>
  <si>
    <t>0bc2ea72-0c64-4ca2-8323-1466aebbb90e</t>
  </si>
  <si>
    <t>James Parks</t>
  </si>
  <si>
    <t>Theodore Jones Jr.</t>
  </si>
  <si>
    <t>d6321d31-c8ac-4fcf-a04d-4d14197dbae1</t>
  </si>
  <si>
    <t>Ana Hill</t>
  </si>
  <si>
    <t>edef5003-1fce-41e3-842b-03ca75a72686</t>
  </si>
  <si>
    <t>Kimberly Nguyen</t>
  </si>
  <si>
    <t>74de5f70-70f8-4dba-a871-9b9bdb8f0e32</t>
  </si>
  <si>
    <t>Kerry Chavez DDS</t>
  </si>
  <si>
    <t>6d84414d-f541-41ea-bde9-1c42002c4c22</t>
  </si>
  <si>
    <t>Michael Farrell</t>
  </si>
  <si>
    <t>e8cee951-b047-4ea4-bee5-ce6933cb202e</t>
  </si>
  <si>
    <t>Patricia Le</t>
  </si>
  <si>
    <t>4d470ed6-a666-4769-a1d4-6f8221c50e41</t>
  </si>
  <si>
    <t>Jesse Perez</t>
  </si>
  <si>
    <t>e0688849-eec7-4a30-9fda-35b228b2bf21</t>
  </si>
  <si>
    <t>Jesse Perry</t>
  </si>
  <si>
    <t>5c457e4d-a793-43b8-97e5-2113462623be</t>
  </si>
  <si>
    <t>Jeffery Ortega</t>
  </si>
  <si>
    <t>aa1d3fc6-5f31-473d-9519-830c40198303</t>
  </si>
  <si>
    <t>Christian Leblanc</t>
  </si>
  <si>
    <t>0d41ee47-2a5f-4a18-a61f-0b96e75f745a</t>
  </si>
  <si>
    <t>Ronald Davis</t>
  </si>
  <si>
    <t>b9da5f8c-4e35-4a80-a027-9a186576a410</t>
  </si>
  <si>
    <t>6de21429-3bf0-49c1-8156-e501b30e96e8</t>
  </si>
  <si>
    <t>Parker Cain</t>
  </si>
  <si>
    <t>185df528-b425-4e19-9758-d47ea7cde143</t>
  </si>
  <si>
    <t>Laurie Hoffman</t>
  </si>
  <si>
    <t>Bryan Gomez</t>
  </si>
  <si>
    <t>13f3cade-7a10-413f-b6a2-c52b00473139</t>
  </si>
  <si>
    <t>Nicole Parrish</t>
  </si>
  <si>
    <t>84fa4c72-39e7-44f1-97fb-613a21f89d06</t>
  </si>
  <si>
    <t>Tracy Burke</t>
  </si>
  <si>
    <t>02106371-0260-4123-b1ef-e72aae13591e</t>
  </si>
  <si>
    <t>Kenneth Lewis</t>
  </si>
  <si>
    <t>1edf3bfa-d12e-4eb5-97f4-79b5b212a6ee</t>
  </si>
  <si>
    <t>Courtney Rodriguez</t>
  </si>
  <si>
    <t>b1ac040d-6c1c-4405-9c3f-42e0fcf7b842</t>
  </si>
  <si>
    <t>Holly Farmer</t>
  </si>
  <si>
    <t>3a9c4308-1221-4ddf-ba4a-902f21d63b0f</t>
  </si>
  <si>
    <t>Renee Bruce</t>
  </si>
  <si>
    <t>ce532ffd-bb13-4f02-96de-66c96210def6</t>
  </si>
  <si>
    <t>Sabrina Austin</t>
  </si>
  <si>
    <t>5e1885c3-5037-4d6b-9a6b-6a7d1a38aad6</t>
  </si>
  <si>
    <t>Allison Hickman</t>
  </si>
  <si>
    <t>61fa01ba-231a-47c7-8c9b-ff5ce1887eaf</t>
  </si>
  <si>
    <t>Debra White</t>
  </si>
  <si>
    <t>dfdf0e05-c0ce-431b-9038-e153c601818b</t>
  </si>
  <si>
    <t>ad58db1b-fe31-437a-a43e-558c2215df00</t>
  </si>
  <si>
    <t>Ellen Morgan</t>
  </si>
  <si>
    <t>9033da65-87cf-43fd-9183-6c4f249204c7</t>
  </si>
  <si>
    <t>Sergio Knight</t>
  </si>
  <si>
    <t>2a038ad4-a667-4982-9c3d-e1b0022b6683</t>
  </si>
  <si>
    <t>Charles Schultz</t>
  </si>
  <si>
    <t>Paul Lewis</t>
  </si>
  <si>
    <t>368acd40-b8f1-4e3c-99e7-703a70aa5b0d</t>
  </si>
  <si>
    <t>Glen Wood</t>
  </si>
  <si>
    <t>eb7e2e64-26c0-447e-bf8e-8bfaa0c9da72</t>
  </si>
  <si>
    <t>Paula Bradley</t>
  </si>
  <si>
    <t>714011a1-afc2-4cfc-9db7-284b6965d1d1</t>
  </si>
  <si>
    <t>Anthony Moore</t>
  </si>
  <si>
    <t>e5871d89-1631-4fc6-b79d-58f9dc268108</t>
  </si>
  <si>
    <t>Megan Nelson</t>
  </si>
  <si>
    <t>1f873b46-c0a0-473a-a3d7-e6a119b814fc</t>
  </si>
  <si>
    <t>Karla Ramos</t>
  </si>
  <si>
    <t>59fe3d53-624f-4a4b-bae1-e13796ee50e5</t>
  </si>
  <si>
    <t>Paul Wilson</t>
  </si>
  <si>
    <t>ca840003-5083-4fef-adec-6bbdf69777a1</t>
  </si>
  <si>
    <t>Douglas Gregory</t>
  </si>
  <si>
    <t>a505da9c-46e7-4a2c-bf6e-ed9d23cbe943</t>
  </si>
  <si>
    <t>Mr. Andrew Foster</t>
  </si>
  <si>
    <t>99db1302-8dab-46d3-bf87-dfc2159152f2</t>
  </si>
  <si>
    <t>48f091f0-9b8b-48ae-b89f-3a92999a1d86</t>
  </si>
  <si>
    <t>Aimee Turner</t>
  </si>
  <si>
    <t>06ddf6ca-b0c3-4a59-b0f7-ad22c76a8e0f</t>
  </si>
  <si>
    <t>Chad Scott</t>
  </si>
  <si>
    <t>e03635fc-a88d-4108-98d9-94b8d90f74e9</t>
  </si>
  <si>
    <t>Adam Burgess</t>
  </si>
  <si>
    <t>9b5f8f39-848b-44f0-b498-17354d38e415</t>
  </si>
  <si>
    <t>James Padilla</t>
  </si>
  <si>
    <t>Sandra Drake</t>
  </si>
  <si>
    <t>6449cb6f-bf72-4e52-b04b-237082701238</t>
  </si>
  <si>
    <t>Scott Williams</t>
  </si>
  <si>
    <t>c8a738ab-0df8-4e12-a56b-61e04ba8a4ca</t>
  </si>
  <si>
    <t>Thomas Atkins</t>
  </si>
  <si>
    <t>3d4574eb-f465-4a21-8b35-097ae5dd98f1</t>
  </si>
  <si>
    <t>Laura Mckinney</t>
  </si>
  <si>
    <t>3db788a6-1cdc-44c2-a2c9-65b27eb0f62a</t>
  </si>
  <si>
    <t>Brian Smith</t>
  </si>
  <si>
    <t>122dd7be-980b-481e-a359-5d1f7fe4a42e</t>
  </si>
  <si>
    <t>Robert Montgomery</t>
  </si>
  <si>
    <t>0316d2d6-fa4a-48ef-a383-7348873dc8bd</t>
  </si>
  <si>
    <t>Tamara Davis</t>
  </si>
  <si>
    <t>51045a16-ef15-4b72-9c70-ee97fca45567</t>
  </si>
  <si>
    <t>Dana Chapman</t>
  </si>
  <si>
    <t>d6c6f45c-dc5e-4e78-a307-d4d121c9a15d</t>
  </si>
  <si>
    <t>8bde005b-5d8b-4bd7-abbd-b66f91816091</t>
  </si>
  <si>
    <t>Jennifer Collins</t>
  </si>
  <si>
    <t>78946a15-c342-41db-ac3a-acdcaed54a46</t>
  </si>
  <si>
    <t>Gary Jackson</t>
  </si>
  <si>
    <t>12af97e4-c536-466e-bcc4-091bf45707c6</t>
  </si>
  <si>
    <t>Ashley Hicks</t>
  </si>
  <si>
    <t>benue</t>
  </si>
  <si>
    <t>0387f74d-1149-4096-965d-744f0445c1a8</t>
  </si>
  <si>
    <t>Hannah Luna</t>
  </si>
  <si>
    <t>ec2e2815-0a32-47d2-b73a-edf8431e930f</t>
  </si>
  <si>
    <t>Robin Young</t>
  </si>
  <si>
    <t>Craig Morrison</t>
  </si>
  <si>
    <t>65e1b0f5-ca0e-48c4-b2dc-b12b0f7ae302</t>
  </si>
  <si>
    <t>Mary Thompson</t>
  </si>
  <si>
    <t>b66edbf4-a0ea-4251-8957-43a281b13b80</t>
  </si>
  <si>
    <t>Kathleen Webster</t>
  </si>
  <si>
    <t>6c6f6d2e-6a59-4043-8461-52348044beb2</t>
  </si>
  <si>
    <t>Joann Glass</t>
  </si>
  <si>
    <t>a3fa4069-1519-4d38-a6fb-a71db3a9dcaa</t>
  </si>
  <si>
    <t>Madison Weber</t>
  </si>
  <si>
    <t>271610c1-9db5-4283-89a3-c811895c4fde</t>
  </si>
  <si>
    <t>Lori Hernandez</t>
  </si>
  <si>
    <t>143ac1c5-4f56-4ed5-9566-9e364708203b</t>
  </si>
  <si>
    <t>Jeremy Turner</t>
  </si>
  <si>
    <t>f96c9a0a-3404-402a-abc1-bb5282e4dd4a</t>
  </si>
  <si>
    <t>53a5e850-8950-4dd6-a7c6-cbb1cedd069d</t>
  </si>
  <si>
    <t>Anthony Romero</t>
  </si>
  <si>
    <t>c362a810-a261-4b8d-9620-bee66406face</t>
  </si>
  <si>
    <t>Jesse Brown</t>
  </si>
  <si>
    <t>a4a5c736-ae59-4a52-a65b-e22bd5a386d9</t>
  </si>
  <si>
    <t>Angela Lin</t>
  </si>
  <si>
    <t>6fff15cc-b2dc-4c34-8f67-448e10eceb1f</t>
  </si>
  <si>
    <t>Lisa Hunter</t>
  </si>
  <si>
    <t>3d175712-d8b2-4277-b413-db19bade8d5d</t>
  </si>
  <si>
    <t>Julian Conner</t>
  </si>
  <si>
    <t>ecb4678c-1612-4aa6-be96-39ba0ed2ec9d</t>
  </si>
  <si>
    <t>Joanna Pacheco</t>
  </si>
  <si>
    <t>Erica Alvarez</t>
  </si>
  <si>
    <t>9cbf7b8c-7410-4d5d-9db1-4bfc6f3a5115</t>
  </si>
  <si>
    <t>Antonio Garcia</t>
  </si>
  <si>
    <t>aa8430f8-4f2d-4233-8e16-5b129bdc70d1</t>
  </si>
  <si>
    <t>Gwendolyn Klein</t>
  </si>
  <si>
    <t>2cf72140-bd9b-4648-a876-1e85bddfa03a</t>
  </si>
  <si>
    <t>Carrie Wright</t>
  </si>
  <si>
    <t>23204ff5-b538-496c-833e-02f71e93d127</t>
  </si>
  <si>
    <t>Jeffrey Mills</t>
  </si>
  <si>
    <t>7f14eafa-29f0-4f7c-82e7-df89b3957a98</t>
  </si>
  <si>
    <t>Jake Campbell</t>
  </si>
  <si>
    <t>8468b74d-85e3-4de5-98c1-aad6f3f8dea4</t>
  </si>
  <si>
    <t>425e0259-b884-46d2-928f-cf68c871d7b3</t>
  </si>
  <si>
    <t>George Harper</t>
  </si>
  <si>
    <t>bff15840-207e-463f-9f32-d5d82abe1585</t>
  </si>
  <si>
    <t>Maria Jones</t>
  </si>
  <si>
    <t>bba1aed9-44cd-4fdd-9f9b-141ec7f7bda1</t>
  </si>
  <si>
    <t>Michael Mitchell</t>
  </si>
  <si>
    <t>e65fad87-c57c-4498-9e38-f711e2ec13f4</t>
  </si>
  <si>
    <t>Mary Escobar</t>
  </si>
  <si>
    <t>6de8370a-ce9e-4ebd-95c3-48530783e43c</t>
  </si>
  <si>
    <t>Felicia Aguilar</t>
  </si>
  <si>
    <t>4350ab06-1059-4a28-861b-4f5b45a08539</t>
  </si>
  <si>
    <t>Gregory Ponce</t>
  </si>
  <si>
    <t>a0a5fde6-939f-41a2-b99c-ea5cb65ad0f1</t>
  </si>
  <si>
    <t>Jenna Larson</t>
  </si>
  <si>
    <t>Emily Bennett</t>
  </si>
  <si>
    <t>82c299f0-7487-4772-bf03-86fa13badc91</t>
  </si>
  <si>
    <t>Robin Santiago</t>
  </si>
  <si>
    <t>dbff00b0-7fe6-40f3-8e31-41ec5c311464</t>
  </si>
  <si>
    <t>Nancy Jennings</t>
  </si>
  <si>
    <t>28457780-5e20-4957-aab8-bd33911f730b</t>
  </si>
  <si>
    <t>Maria Henderson</t>
  </si>
  <si>
    <t>e4eec67c-1a57-49e4-85f8-e2f8414f4994</t>
  </si>
  <si>
    <t>Jack White</t>
  </si>
  <si>
    <t>1d8680cb-b908-40f3-ac93-281a92ebeab0</t>
  </si>
  <si>
    <t>00a85473-8242-4912-bda3-c1623a78b64a</t>
  </si>
  <si>
    <t>Travis Tucker</t>
  </si>
  <si>
    <t>03254fbd-dce8-41c5-9bd3-0aec0b461173</t>
  </si>
  <si>
    <t>Chad Jones</t>
  </si>
  <si>
    <t>5d2d904f-78c5-4073-8bc5-72073e9aec86</t>
  </si>
  <si>
    <t>Ashley Wise</t>
  </si>
  <si>
    <t>2dd0622e-266b-42ea-ab93-f78c620af158</t>
  </si>
  <si>
    <t>Sophia Johnson</t>
  </si>
  <si>
    <t>090d9655-db84-4660-b5d8-fb91ee6081ac</t>
  </si>
  <si>
    <t>Ralph Anderson</t>
  </si>
  <si>
    <t>b6ca1127-e9f8-4970-8d98-f9e28d888beb</t>
  </si>
  <si>
    <t>Christopher Guerra</t>
  </si>
  <si>
    <t>3979d5f5-6b5b-4975-a7dc-2bc0bd9c4693</t>
  </si>
  <si>
    <t>Rhonda Martin</t>
  </si>
  <si>
    <t>ea75752d-6a8f-4acb-bf8e-2d0d52619dec</t>
  </si>
  <si>
    <t>Jason Rhodes</t>
  </si>
  <si>
    <t>Jeremy Mitchell</t>
  </si>
  <si>
    <t>d3748a11-4571-4959-91e7-44e4b864ca08</t>
  </si>
  <si>
    <t>Joann Ferguson</t>
  </si>
  <si>
    <t>1e910f36-5f70-4b25-9250-2e5913f06822</t>
  </si>
  <si>
    <t>Robert Harrison</t>
  </si>
  <si>
    <t>0d7bec04-e6e5-4b32-ac5f-12ef8085c147</t>
  </si>
  <si>
    <t>Holly Valentine</t>
  </si>
  <si>
    <t>8409c5ea-cde9-48b3-b922-a7e42de982f8</t>
  </si>
  <si>
    <t>66a302d6-f43e-4c48-8bc1-f9e5fb3df063</t>
  </si>
  <si>
    <t>Mrs. Diane Reyes</t>
  </si>
  <si>
    <t>ddb449dc-7710-4966-a082-7f7611a529b4</t>
  </si>
  <si>
    <t>Tracy Montoya</t>
  </si>
  <si>
    <t>4f89e3b2-d847-4c53-8605-e58a48454343</t>
  </si>
  <si>
    <t>Brenda Wright</t>
  </si>
  <si>
    <t>74ed5145-8d97-45c7-961d-5c8753c9fe59</t>
  </si>
  <si>
    <t>Shelly Spencer</t>
  </si>
  <si>
    <t>4aa5f9d3-335f-4f59-9e71-7fca020a4497</t>
  </si>
  <si>
    <t>Ryan Rosales</t>
  </si>
  <si>
    <t>bd54da04-4dcd-4009-88d5-77179055a36f</t>
  </si>
  <si>
    <t>Phillip Nelson</t>
  </si>
  <si>
    <t>5e472e22-76c3-4642-be19-fc1d9f6a6a65</t>
  </si>
  <si>
    <t>Brittany Kim</t>
  </si>
  <si>
    <t>ff6ef9ed-7e4c-429f-b8cb-ab4c97790e84</t>
  </si>
  <si>
    <t>Courtney Hayes</t>
  </si>
  <si>
    <t>bb82b796-3207-443e-86a0-7656c5c9fb91</t>
  </si>
  <si>
    <t>Alexander Brown</t>
  </si>
  <si>
    <t>Cynthia Vang</t>
  </si>
  <si>
    <t>cbc4ec0e-c2ae-4674-8beb-4e78e68373a3</t>
  </si>
  <si>
    <t>Alfred Galvan</t>
  </si>
  <si>
    <t>eeb19ad2-01a1-4b0f-a68b-84b63ec0a285</t>
  </si>
  <si>
    <t>Marie Moody</t>
  </si>
  <si>
    <t>8aa2b4c9-3ba5-4d76-861e-fb9568f82063</t>
  </si>
  <si>
    <t>b186a5a8-d6ee-426b-a2cd-159058af393c</t>
  </si>
  <si>
    <t>Dustin Gallegos</t>
  </si>
  <si>
    <t>55c3b2db-f374-490d-8274-ce40e09016b6</t>
  </si>
  <si>
    <t>Brenda Thornton</t>
  </si>
  <si>
    <t>60538c1b-a845-40a1-8249-2e5e005fd0e6</t>
  </si>
  <si>
    <t>Aaron Miller</t>
  </si>
  <si>
    <t>4eb9047d-ba2a-43d9-bcf2-fc3bd95874c2</t>
  </si>
  <si>
    <t>Ruben Dunn</t>
  </si>
  <si>
    <t>fbad793f-87a1-4c02-b487-9e411a9c672a</t>
  </si>
  <si>
    <t>Kelsey Rodriguez</t>
  </si>
  <si>
    <t>f610396b-7df5-4abf-ab79-0d013cf88d20</t>
  </si>
  <si>
    <t>Eric Williams</t>
  </si>
  <si>
    <t>247296a4-ff38-4918-b8f9-a45d0f554896</t>
  </si>
  <si>
    <t>Riley Bryant</t>
  </si>
  <si>
    <t>0b3d0c36-17d0-4810-87a2-a10bb62edb49</t>
  </si>
  <si>
    <t>Taylor Carlson</t>
  </si>
  <si>
    <t>d872f72e-e5b4-41ae-bb41-c943ebd8a3b1</t>
  </si>
  <si>
    <t>Jose Allen</t>
  </si>
  <si>
    <t>e5449887-b36a-43ed-a9be-173a850ef0ad</t>
  </si>
  <si>
    <t>Jeffrey Mendez</t>
  </si>
  <si>
    <t>Jason Beck</t>
  </si>
  <si>
    <t>bf7655d7-f97c-4c3c-b55d-814b5f5ba255</t>
  </si>
  <si>
    <t>William Jones</t>
  </si>
  <si>
    <t>8163b6ce-1877-4c06-94ad-625215bc2a3e</t>
  </si>
  <si>
    <t>64f434d6-d1e9-4691-a320-9116222df6a4</t>
  </si>
  <si>
    <t>Katie Mcneil</t>
  </si>
  <si>
    <t>0ff1c51f-915c-431b-9786-7b1213281726</t>
  </si>
  <si>
    <t>Jeanette Harrison</t>
  </si>
  <si>
    <t>21761930-f6d7-4248-a995-ecc36f5b09a6</t>
  </si>
  <si>
    <t>Veronica King</t>
  </si>
  <si>
    <t>d9d57b02-42d0-4d55-8aab-47b23c9d128a</t>
  </si>
  <si>
    <t>Richard Cooper</t>
  </si>
  <si>
    <t>64988bde-cd02-44db-ad11-15d750a46c85</t>
  </si>
  <si>
    <t>Lori Ingram</t>
  </si>
  <si>
    <t>53853918-bc40-45fa-94f7-6322b362c0d2</t>
  </si>
  <si>
    <t>Evelyn Williams</t>
  </si>
  <si>
    <t>3bcdf203-459e-4674-b3e7-f042516c3b0a</t>
  </si>
  <si>
    <t>Robin Thompson</t>
  </si>
  <si>
    <t>22d839d3-33e4-4986-b18c-ccdc131eb723</t>
  </si>
  <si>
    <t>Julie Dominguez</t>
  </si>
  <si>
    <t>1be5a4c3-95af-4d0c-8528-5425c7a9f33c</t>
  </si>
  <si>
    <t>Robin Brown</t>
  </si>
  <si>
    <t>7316ce64-2a14-4a96-9b0c-62eb27c8fc6c</t>
  </si>
  <si>
    <t>Judith Carter</t>
  </si>
  <si>
    <t>1ee89a4c-6811-44e2-9064-7c59774f6354</t>
  </si>
  <si>
    <t>Curtis Williams</t>
  </si>
  <si>
    <t>Kaylee Hays</t>
  </si>
  <si>
    <t>c534ca08-f6f2-4d1c-9bb8-b9c8893259f3</t>
  </si>
  <si>
    <t>769de1e3-4eed-4124-b3b0-d6763527a5c8</t>
  </si>
  <si>
    <t>Dawn Mullins</t>
  </si>
  <si>
    <t>1725d2c7-1eb2-47b8-9a3c-45ca43d78f2b</t>
  </si>
  <si>
    <t>Howard Norman</t>
  </si>
  <si>
    <t>4de1087b-afa1-4a55-8ebe-abaa28597b34</t>
  </si>
  <si>
    <t>Evelyn Martinez</t>
  </si>
  <si>
    <t>9a72083c-b266-486c-b467-88bdd38e13e4</t>
  </si>
  <si>
    <t>Steve Paul</t>
  </si>
  <si>
    <t>db4862c2-d5ff-4a1f-b70b-9a290a530df9</t>
  </si>
  <si>
    <t>Jasmine Beltran</t>
  </si>
  <si>
    <t>b60e695c-1759-4a96-a5f8-8c7453ea4919</t>
  </si>
  <si>
    <t>Jonathan Glass MD</t>
  </si>
  <si>
    <t>657046ea-5b11-451f-b7e9-101d3f8b4433</t>
  </si>
  <si>
    <t>Monica Miller</t>
  </si>
  <si>
    <t>4c80d33a-ad5b-43c8-8c88-0714837217e0</t>
  </si>
  <si>
    <t>Samantha Gardner</t>
  </si>
  <si>
    <t>2c82989f-fd9c-4bb0-91f1-6485429a4a7c</t>
  </si>
  <si>
    <t>Bobby Guerrero</t>
  </si>
  <si>
    <t>dac726b6-6786-4fb3-b3bc-9a7107f4fee5</t>
  </si>
  <si>
    <t>Lance Simmons</t>
  </si>
  <si>
    <t>8cd4b90a-bf82-41bc-8e52-fc4273c374a6</t>
  </si>
  <si>
    <t>Heather Williams</t>
  </si>
  <si>
    <t>1a16998c-7648-476e-983f-ea703ff6579e</t>
  </si>
  <si>
    <t>Heather Bolton</t>
  </si>
  <si>
    <t>1f178f93-23c9-4a1e-8b37-1d97cdcc2d6a</t>
  </si>
  <si>
    <t>William Gould</t>
  </si>
  <si>
    <t>c7ecfe71-d493-47fc-8fc9-8d2e030f9be9</t>
  </si>
  <si>
    <t>Mark Cox</t>
  </si>
  <si>
    <t>32b8d8aa-2176-4dd7-b8e7-e019fb8986c8</t>
  </si>
  <si>
    <t>Meghan Cisneros</t>
  </si>
  <si>
    <t>afb06406-5f4b-4a97-a68c-879bd2dc42c8</t>
  </si>
  <si>
    <t>Lawrence Harrington</t>
  </si>
  <si>
    <t>15839b99-a50a-43dc-b004-e897a15b2e18</t>
  </si>
  <si>
    <t>Austin Osborne</t>
  </si>
  <si>
    <t>eadc9960-4242-41e2-960b-e0f495132c22</t>
  </si>
  <si>
    <t>James Bradley</t>
  </si>
  <si>
    <t>ff45f8a2-0594-424f-9332-5c31d010318a</t>
  </si>
  <si>
    <t>Meghan Rush</t>
  </si>
  <si>
    <t>a55f65b7-e709-4ba6-b29f-c41710813d45</t>
  </si>
  <si>
    <t>Phillip Berry</t>
  </si>
  <si>
    <t>178be968-20f8-4ba2-8f2e-32967184b713</t>
  </si>
  <si>
    <t>Jennifer Banks</t>
  </si>
  <si>
    <t>cf133b65-d450-4fa2-98e7-0aebe7b33085</t>
  </si>
  <si>
    <t>Brian Fitzgerald</t>
  </si>
  <si>
    <t>f1394e3c-0aee-4557-9f5d-f91254e07431</t>
  </si>
  <si>
    <t>Mr. Justin Green III</t>
  </si>
  <si>
    <t>ec93e596-2b01-4723-8cf6-97a57603c36c</t>
  </si>
  <si>
    <t>Zachary Mitchell</t>
  </si>
  <si>
    <t>b9744cde-d259-4960-aee3-560792ea1324</t>
  </si>
  <si>
    <t>Katherine Martinez</t>
  </si>
  <si>
    <t>61fa8e7a-078c-46ce-bf02-23bc651ea252</t>
  </si>
  <si>
    <t>Jodi Roach</t>
  </si>
  <si>
    <t>5a9c0679-2c3d-47e2-ad39-da75aee70ab2</t>
  </si>
  <si>
    <t>Brandon Fleming</t>
  </si>
  <si>
    <t>46653497-2fe9-42aa-a886-a01136f7a26c</t>
  </si>
  <si>
    <t>Month</t>
  </si>
  <si>
    <t>Year</t>
  </si>
  <si>
    <t>No_Order_ID</t>
  </si>
  <si>
    <t>Bailey Duran Dds</t>
  </si>
  <si>
    <t>Brandon Bailey Md</t>
  </si>
  <si>
    <t>Elizabeth Oliver Dds</t>
  </si>
  <si>
    <t>Jonathan Glass Md</t>
  </si>
  <si>
    <t>Kerry Chavez Dds</t>
  </si>
  <si>
    <t>Margaret Hawkins Dds</t>
  </si>
  <si>
    <t>Mr. Justin Green Iii</t>
  </si>
  <si>
    <t>Ricky Davis Ii</t>
  </si>
  <si>
    <t>Susan Murray Md</t>
  </si>
  <si>
    <t>Tanner Mitchell Dds</t>
  </si>
  <si>
    <t>Sum of Total Sale</t>
  </si>
  <si>
    <t>Sum of Units Sold</t>
  </si>
  <si>
    <t>Sum of Unit Price</t>
  </si>
  <si>
    <t>Grand Total</t>
  </si>
  <si>
    <t>Count of Customer Name</t>
  </si>
  <si>
    <t>2023</t>
  </si>
  <si>
    <t>2024</t>
  </si>
  <si>
    <t>2025</t>
  </si>
  <si>
    <t>Total sale by year</t>
  </si>
  <si>
    <t>Jan</t>
  </si>
  <si>
    <t>Feb</t>
  </si>
  <si>
    <t>Mar</t>
  </si>
  <si>
    <t>Apr</t>
  </si>
  <si>
    <t>May</t>
  </si>
  <si>
    <t>Jun</t>
  </si>
  <si>
    <t>Jul</t>
  </si>
  <si>
    <t>Aug</t>
  </si>
  <si>
    <t>Sep</t>
  </si>
  <si>
    <t>Oct</t>
  </si>
  <si>
    <t>Nov</t>
  </si>
  <si>
    <t>Dec</t>
  </si>
  <si>
    <t>Total sale by month</t>
  </si>
  <si>
    <t>top 10 salw by state</t>
  </si>
  <si>
    <t>Unknown</t>
  </si>
  <si>
    <t>Customer_Status</t>
  </si>
  <si>
    <t>Identified</t>
  </si>
  <si>
    <t>Unidentified</t>
  </si>
  <si>
    <t>Customer sales by status</t>
  </si>
  <si>
    <t>Top 10 customers sales</t>
  </si>
  <si>
    <t>Sales by channel</t>
  </si>
  <si>
    <t>Sum of Total Sale2</t>
  </si>
  <si>
    <t>% of Sales</t>
  </si>
  <si>
    <t>% of sale by year</t>
  </si>
  <si>
    <t>% of Total Sale</t>
  </si>
  <si>
    <t>Average of Unit Price</t>
  </si>
  <si>
    <t>This is a correlation matrix showing the relationship strength between each product’s sales (or revenues)</t>
  </si>
  <si>
    <t>Total sales and % cont</t>
  </si>
  <si>
    <t>Monthly sales trends</t>
  </si>
  <si>
    <t>Correlation btw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</si>
</sst>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6A]* #,##0.00_-;\-[$₦-46A]* #,##0.00_-;_-[$₦-46A]* &quot;-&quot;??_-;_-@_-"/>
  </numFmts>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11" fontId="0" fillId="0" borderId="0" xfId="0" applyNumberFormat="1"/>
    <xf numFmtId="0" fontId="0" fillId="0" borderId="0" xfId="0" applyNumberFormat="1"/>
    <xf numFmtId="0" fontId="0" fillId="0" borderId="0" xfId="0" pivotButton="1"/>
    <xf numFmtId="164" fontId="0" fillId="0" borderId="0" xfId="0" applyNumberFormat="1"/>
    <xf numFmtId="2" fontId="0" fillId="0" borderId="0" xfId="0" applyNumberFormat="1"/>
    <xf numFmtId="1" fontId="0" fillId="0" borderId="0" xfId="0" applyNumberFormat="1"/>
    <xf numFmtId="10" fontId="0" fillId="0" borderId="0" xfId="0" applyNumberFormat="1"/>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0" fillId="0" borderId="0" xfId="0" applyAlignment="1">
      <alignment horizontal="center"/>
    </xf>
  </cellXfs>
  <cellStyles count="1">
    <cellStyle name="Normal" xfId="0" builtinId="0"/>
  </cellStyles>
  <dxfs count="49">
    <dxf>
      <numFmt numFmtId="2" formatCode="0.00"/>
    </dxf>
    <dxf>
      <numFmt numFmtId="164" formatCode="_-[$₦-46A]* #,##0.00_-;\-[$₦-46A]* #,##0.00_-;_-[$₦-46A]* &quot;-&quot;??_-;_-@_-"/>
    </dxf>
    <dxf>
      <numFmt numFmtId="34" formatCode="_(&quot;$&quot;* #,##0.00_);_(&quot;$&quot;* \(#,##0.00\);_(&quot;$&quot;* &quot;-&quot;??_);_(@_)"/>
    </dxf>
    <dxf>
      <numFmt numFmtId="164" formatCode="_-[$₦-46A]* #,##0.00_-;\-[$₦-46A]* #,##0.00_-;_-[$₦-46A]* &quot;-&quot;??_-;_-@_-"/>
    </dxf>
    <dxf>
      <numFmt numFmtId="2" formatCode="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64" formatCode="_-[$₦-46A]* #,##0.00_-;\-[$₦-46A]* #,##0.00_-;_-[$₦-46A]* &quot;-&quot;??_-;_-@_-"/>
    </dxf>
    <dxf>
      <numFmt numFmtId="164" formatCode="_-[$₦-46A]* #,##0.00_-;\-[$₦-46A]* #,##0.00_-;_-[$₦-46A]* &quot;-&quot;??_-;_-@_-"/>
    </dxf>
    <dxf>
      <numFmt numFmtId="164" formatCode="_-[$₦-46A]* #,##0.00_-;\-[$₦-46A]* #,##0.00_-;_-[$₦-46A]* &quot;-&quot;??_-;_-@_-"/>
    </dxf>
    <dxf>
      <numFmt numFmtId="14" formatCode="0.00%"/>
    </dxf>
    <dxf>
      <numFmt numFmtId="2" formatCode="0.00"/>
    </dxf>
    <dxf>
      <numFmt numFmtId="2" formatCode="0.00"/>
    </dxf>
    <dxf>
      <numFmt numFmtId="1" formatCode="0"/>
    </dxf>
    <dxf>
      <numFmt numFmtId="14" formatCode="0.00%"/>
    </dxf>
    <dxf>
      <numFmt numFmtId="164" formatCode="_-[$₦-46A]* #,##0.00_-;\-[$₦-46A]* #,##0.00_-;_-[$₦-46A]* &quot;-&quot;??_-;_-@_-"/>
    </dxf>
    <dxf>
      <numFmt numFmtId="14" formatCode="0.00%"/>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0" formatCode="General"/>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Toat sale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34470691163604"/>
          <c:y val="0.28541229221347336"/>
          <c:w val="0.62621981627296586"/>
          <c:h val="0.53774387576552929"/>
        </c:manualLayout>
      </c:layout>
      <c:barChart>
        <c:barDir val="col"/>
        <c:grouping val="clustered"/>
        <c:varyColors val="0"/>
        <c:ser>
          <c:idx val="0"/>
          <c:order val="0"/>
          <c:tx>
            <c:strRef>
              <c:f>Pivot_Table!$D$21</c:f>
              <c:strCache>
                <c:ptCount val="1"/>
                <c:pt idx="0">
                  <c:v>Total</c:v>
                </c:pt>
              </c:strCache>
            </c:strRef>
          </c:tx>
          <c:spPr>
            <a:solidFill>
              <a:schemeClr val="accent1"/>
            </a:solidFill>
            <a:ln>
              <a:noFill/>
            </a:ln>
            <a:effectLst/>
          </c:spPr>
          <c:invertIfNegative val="0"/>
          <c:cat>
            <c:strRef>
              <c:f>Pivot_Table!$C$22:$C$34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Pivot_Table!$D$22:$D$34</c:f>
              <c:numCache>
                <c:formatCode>_-[$₦-46A]* #,##0.00_-;\-[$₦-46A]* #,##0.00_-;_-[$₦-46A]* "-"??_-;_-@_-</c:formatCode>
                <c:ptCount val="12"/>
                <c:pt idx="0">
                  <c:v>349511967.17999995</c:v>
                </c:pt>
                <c:pt idx="1">
                  <c:v>354611103.66999996</c:v>
                </c:pt>
                <c:pt idx="2">
                  <c:v>379297064.16000009</c:v>
                </c:pt>
                <c:pt idx="3">
                  <c:v>336620810.34000003</c:v>
                </c:pt>
                <c:pt idx="4">
                  <c:v>373052094.94999975</c:v>
                </c:pt>
                <c:pt idx="5">
                  <c:v>280362994.92999995</c:v>
                </c:pt>
                <c:pt idx="6">
                  <c:v>298009248.26999998</c:v>
                </c:pt>
                <c:pt idx="7">
                  <c:v>302059475.18999994</c:v>
                </c:pt>
                <c:pt idx="8">
                  <c:v>259536225.88999996</c:v>
                </c:pt>
                <c:pt idx="9">
                  <c:v>435823013.38999999</c:v>
                </c:pt>
                <c:pt idx="10">
                  <c:v>363145190.9600001</c:v>
                </c:pt>
                <c:pt idx="11">
                  <c:v>302564383.88000005</c:v>
                </c:pt>
              </c:numCache>
            </c:numRef>
          </c:val>
          <c:extLst>
            <c:ext xmlns:c16="http://schemas.microsoft.com/office/drawing/2014/chart" uri="{C3380CC4-5D6E-409C-BE32-E72D297353CC}">
              <c16:uniqueId val="{00000000-FD50-4170-B6B0-B4953DBA7137}"/>
            </c:ext>
          </c:extLst>
        </c:ser>
        <c:dLbls>
          <c:showLegendKey val="0"/>
          <c:showVal val="0"/>
          <c:showCatName val="0"/>
          <c:showSerName val="0"/>
          <c:showPercent val="0"/>
          <c:showBubbleSize val="0"/>
        </c:dLbls>
        <c:gapWidth val="219"/>
        <c:overlap val="-27"/>
        <c:axId val="1086927864"/>
        <c:axId val="1086933624"/>
      </c:barChart>
      <c:catAx>
        <c:axId val="108692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33624"/>
        <c:crosses val="autoZero"/>
        <c:auto val="1"/>
        <c:lblAlgn val="ctr"/>
        <c:lblOffset val="100"/>
        <c:noMultiLvlLbl val="0"/>
      </c:catAx>
      <c:valAx>
        <c:axId val="1086933624"/>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27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Pivot_Table!$D$39</c:f>
              <c:strCache>
                <c:ptCount val="1"/>
                <c:pt idx="0">
                  <c:v>Total</c:v>
                </c:pt>
              </c:strCache>
            </c:strRef>
          </c:tx>
          <c:spPr>
            <a:solidFill>
              <a:schemeClr val="accent1"/>
            </a:solidFill>
            <a:ln>
              <a:noFill/>
            </a:ln>
            <a:effectLst/>
          </c:spPr>
          <c:invertIfNegative val="0"/>
          <c:cat>
            <c:strRef>
              <c:f>Pivot_Table!$C$40:$C$50</c:f>
              <c:strCache>
                <c:ptCount val="10"/>
                <c:pt idx="0">
                  <c:v>Delta</c:v>
                </c:pt>
                <c:pt idx="1">
                  <c:v>Imo</c:v>
                </c:pt>
                <c:pt idx="2">
                  <c:v>Kano</c:v>
                </c:pt>
                <c:pt idx="3">
                  <c:v>Rivers</c:v>
                </c:pt>
                <c:pt idx="4">
                  <c:v>Enugu</c:v>
                </c:pt>
                <c:pt idx="5">
                  <c:v>Niger</c:v>
                </c:pt>
                <c:pt idx="6">
                  <c:v>Kaduna</c:v>
                </c:pt>
                <c:pt idx="7">
                  <c:v>Katsina</c:v>
                </c:pt>
                <c:pt idx="8">
                  <c:v>Oyo</c:v>
                </c:pt>
                <c:pt idx="9">
                  <c:v>Anambra</c:v>
                </c:pt>
              </c:strCache>
            </c:strRef>
          </c:cat>
          <c:val>
            <c:numRef>
              <c:f>Pivot_Table!$D$40:$D$50</c:f>
              <c:numCache>
                <c:formatCode>_-[$₦-46A]* #,##0.00_-;\-[$₦-46A]* #,##0.00_-;_-[$₦-46A]* "-"??_-;_-@_-</c:formatCode>
                <c:ptCount val="10"/>
                <c:pt idx="0">
                  <c:v>290042871.94999999</c:v>
                </c:pt>
                <c:pt idx="1">
                  <c:v>277426349.26999998</c:v>
                </c:pt>
                <c:pt idx="2">
                  <c:v>274411241.71999991</c:v>
                </c:pt>
                <c:pt idx="3">
                  <c:v>229908523.96999997</c:v>
                </c:pt>
                <c:pt idx="4">
                  <c:v>219937341.62999997</c:v>
                </c:pt>
                <c:pt idx="5">
                  <c:v>211621512.54000002</c:v>
                </c:pt>
                <c:pt idx="6">
                  <c:v>210963202.81999996</c:v>
                </c:pt>
                <c:pt idx="7">
                  <c:v>210362062.43999997</c:v>
                </c:pt>
                <c:pt idx="8">
                  <c:v>208466837.33999997</c:v>
                </c:pt>
                <c:pt idx="9">
                  <c:v>207615839.97999999</c:v>
                </c:pt>
              </c:numCache>
            </c:numRef>
          </c:val>
          <c:extLst>
            <c:ext xmlns:c16="http://schemas.microsoft.com/office/drawing/2014/chart" uri="{C3380CC4-5D6E-409C-BE32-E72D297353CC}">
              <c16:uniqueId val="{00000000-83AF-4632-80FC-D58115ED49D6}"/>
            </c:ext>
          </c:extLst>
        </c:ser>
        <c:dLbls>
          <c:showLegendKey val="0"/>
          <c:showVal val="0"/>
          <c:showCatName val="0"/>
          <c:showSerName val="0"/>
          <c:showPercent val="0"/>
          <c:showBubbleSize val="0"/>
        </c:dLbls>
        <c:gapWidth val="182"/>
        <c:axId val="1086931824"/>
        <c:axId val="1086927504"/>
      </c:barChart>
      <c:catAx>
        <c:axId val="1086931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6927504"/>
        <c:crosses val="autoZero"/>
        <c:auto val="1"/>
        <c:lblAlgn val="ctr"/>
        <c:lblOffset val="100"/>
        <c:noMultiLvlLbl val="0"/>
      </c:catAx>
      <c:valAx>
        <c:axId val="1086927504"/>
        <c:scaling>
          <c:orientation val="minMax"/>
        </c:scaling>
        <c:delete val="0"/>
        <c:axPos val="b"/>
        <c:numFmt formatCode="_-[$₦-46A]* #,##0.00_-;\-[$₦-46A]* #,##0.00_-;_-[$₦-46A]*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693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[Nigeria_messy_sales_dataset2023_2025.xlsx]Pivot_Table!PivotTable9</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000"/>
              <a:t>Customer status by sale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Pivot_Table!$D$55</c:f>
              <c:strCache>
                <c:ptCount val="1"/>
                <c:pt idx="0">
                  <c:v>Sum of Total Sale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Pivot_Table!$C$56:$C$58</c:f>
              <c:strCache>
                <c:ptCount val="2"/>
                <c:pt idx="0">
                  <c:v>Identified</c:v>
                </c:pt>
                <c:pt idx="1">
                  <c:v>Unidentified</c:v>
                </c:pt>
              </c:strCache>
            </c:strRef>
          </c:cat>
          <c:val>
            <c:numRef>
              <c:f>Pivot_Table!$D$56:$D$58</c:f>
              <c:numCache>
                <c:formatCode>_-[$₦-46A]* #,##0.00_-;\-[$₦-46A]* #,##0.00_-;_-[$₦-46A]* "-"??_-;_-@_-</c:formatCode>
                <c:ptCount val="2"/>
                <c:pt idx="0">
                  <c:v>3742481245.0099998</c:v>
                </c:pt>
                <c:pt idx="1">
                  <c:v>292112327.79999995</c:v>
                </c:pt>
              </c:numCache>
            </c:numRef>
          </c:val>
          <c:extLst>
            <c:ext xmlns:c16="http://schemas.microsoft.com/office/drawing/2014/chart" uri="{C3380CC4-5D6E-409C-BE32-E72D297353CC}">
              <c16:uniqueId val="{00000000-864A-4022-8D7E-357576310CC7}"/>
            </c:ext>
          </c:extLst>
        </c:ser>
        <c:ser>
          <c:idx val="1"/>
          <c:order val="1"/>
          <c:tx>
            <c:strRef>
              <c:f>Pivot_Table!$E$55</c:f>
              <c:strCache>
                <c:ptCount val="1"/>
                <c:pt idx="0">
                  <c:v>Sum of Total Sale2</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Pivot_Table!$C$56:$C$58</c:f>
              <c:strCache>
                <c:ptCount val="2"/>
                <c:pt idx="0">
                  <c:v>Identified</c:v>
                </c:pt>
                <c:pt idx="1">
                  <c:v>Unidentified</c:v>
                </c:pt>
              </c:strCache>
            </c:strRef>
          </c:cat>
          <c:val>
            <c:numRef>
              <c:f>Pivot_Table!$E$56:$E$58</c:f>
              <c:numCache>
                <c:formatCode>0.00%</c:formatCode>
                <c:ptCount val="2"/>
                <c:pt idx="0">
                  <c:v>0.92759807833715691</c:v>
                </c:pt>
                <c:pt idx="1">
                  <c:v>7.2401921662843122E-2</c:v>
                </c:pt>
              </c:numCache>
            </c:numRef>
          </c:val>
          <c:extLst>
            <c:ext xmlns:c16="http://schemas.microsoft.com/office/drawing/2014/chart" uri="{C3380CC4-5D6E-409C-BE32-E72D297353CC}">
              <c16:uniqueId val="{00000002-864A-4022-8D7E-357576310CC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customer sale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Pivot_Table!$D$66</c:f>
              <c:strCache>
                <c:ptCount val="1"/>
                <c:pt idx="0">
                  <c:v>Total</c:v>
                </c:pt>
              </c:strCache>
            </c:strRef>
          </c:tx>
          <c:spPr>
            <a:solidFill>
              <a:schemeClr val="accent1"/>
            </a:solidFill>
            <a:ln>
              <a:noFill/>
            </a:ln>
            <a:effectLst/>
          </c:spPr>
          <c:invertIfNegative val="0"/>
          <c:cat>
            <c:strRef>
              <c:f>Pivot_Table!$C$67:$C$72</c:f>
              <c:strCache>
                <c:ptCount val="5"/>
                <c:pt idx="0">
                  <c:v>Angela Lin</c:v>
                </c:pt>
                <c:pt idx="1">
                  <c:v>Angela Lopez</c:v>
                </c:pt>
                <c:pt idx="2">
                  <c:v>Jeanette Harrison</c:v>
                </c:pt>
                <c:pt idx="3">
                  <c:v>Laurie Hoffman</c:v>
                </c:pt>
                <c:pt idx="4">
                  <c:v>Michelle Brown</c:v>
                </c:pt>
              </c:strCache>
            </c:strRef>
          </c:cat>
          <c:val>
            <c:numRef>
              <c:f>Pivot_Table!$D$67:$D$72</c:f>
              <c:numCache>
                <c:formatCode>_-[$₦-46A]* #,##0.00_-;\-[$₦-46A]* #,##0.00_-;_-[$₦-46A]* "-"??_-;_-@_-</c:formatCode>
                <c:ptCount val="5"/>
                <c:pt idx="0">
                  <c:v>21985540.600000001</c:v>
                </c:pt>
                <c:pt idx="1">
                  <c:v>26075188.41</c:v>
                </c:pt>
                <c:pt idx="2">
                  <c:v>28734589.799999997</c:v>
                </c:pt>
                <c:pt idx="3">
                  <c:v>19363748.34</c:v>
                </c:pt>
                <c:pt idx="4">
                  <c:v>21572015</c:v>
                </c:pt>
              </c:numCache>
            </c:numRef>
          </c:val>
          <c:extLst>
            <c:ext xmlns:c16="http://schemas.microsoft.com/office/drawing/2014/chart" uri="{C3380CC4-5D6E-409C-BE32-E72D297353CC}">
              <c16:uniqueId val="{00000000-3BB4-4015-8F7B-C484E5BC38CC}"/>
            </c:ext>
          </c:extLst>
        </c:ser>
        <c:dLbls>
          <c:showLegendKey val="0"/>
          <c:showVal val="0"/>
          <c:showCatName val="0"/>
          <c:showSerName val="0"/>
          <c:showPercent val="0"/>
          <c:showBubbleSize val="0"/>
        </c:dLbls>
        <c:gapWidth val="219"/>
        <c:overlap val="-27"/>
        <c:axId val="607900984"/>
        <c:axId val="607900624"/>
      </c:barChart>
      <c:catAx>
        <c:axId val="60790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900624"/>
        <c:crosses val="autoZero"/>
        <c:auto val="1"/>
        <c:lblAlgn val="ctr"/>
        <c:lblOffset val="100"/>
        <c:noMultiLvlLbl val="0"/>
      </c:catAx>
      <c:valAx>
        <c:axId val="607900624"/>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900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Pivot_Table!$D$83</c:f>
              <c:strCache>
                <c:ptCount val="1"/>
                <c:pt idx="0">
                  <c:v>Sum of Total Sale</c:v>
                </c:pt>
              </c:strCache>
            </c:strRef>
          </c:tx>
          <c:spPr>
            <a:solidFill>
              <a:schemeClr val="accent1"/>
            </a:solidFill>
            <a:ln>
              <a:noFill/>
            </a:ln>
            <a:effectLst/>
          </c:spPr>
          <c:invertIfNegative val="0"/>
          <c:cat>
            <c:strRef>
              <c:f>Pivot_Table!$C$84:$C$88</c:f>
              <c:strCache>
                <c:ptCount val="4"/>
                <c:pt idx="0">
                  <c:v>Direct</c:v>
                </c:pt>
                <c:pt idx="1">
                  <c:v>Retail</c:v>
                </c:pt>
                <c:pt idx="2">
                  <c:v>Wholesale</c:v>
                </c:pt>
                <c:pt idx="3">
                  <c:v>Online</c:v>
                </c:pt>
              </c:strCache>
            </c:strRef>
          </c:cat>
          <c:val>
            <c:numRef>
              <c:f>Pivot_Table!$D$84:$D$88</c:f>
              <c:numCache>
                <c:formatCode>_-[$₦-46A]* #,##0.00_-;\-[$₦-46A]* #,##0.00_-;_-[$₦-46A]* "-"??_-;_-@_-</c:formatCode>
                <c:ptCount val="4"/>
                <c:pt idx="0">
                  <c:v>1680635443.0899997</c:v>
                </c:pt>
                <c:pt idx="1">
                  <c:v>828727473.03000009</c:v>
                </c:pt>
                <c:pt idx="2">
                  <c:v>766110804.42999995</c:v>
                </c:pt>
                <c:pt idx="3">
                  <c:v>759119852.26000011</c:v>
                </c:pt>
              </c:numCache>
            </c:numRef>
          </c:val>
          <c:extLst>
            <c:ext xmlns:c16="http://schemas.microsoft.com/office/drawing/2014/chart" uri="{C3380CC4-5D6E-409C-BE32-E72D297353CC}">
              <c16:uniqueId val="{00000000-96CE-4DE7-87FF-2D6CFBE73835}"/>
            </c:ext>
          </c:extLst>
        </c:ser>
        <c:ser>
          <c:idx val="1"/>
          <c:order val="1"/>
          <c:tx>
            <c:strRef>
              <c:f>Pivot_Table!$E$83</c:f>
              <c:strCache>
                <c:ptCount val="1"/>
                <c:pt idx="0">
                  <c:v>% of Sales</c:v>
                </c:pt>
              </c:strCache>
            </c:strRef>
          </c:tx>
          <c:spPr>
            <a:solidFill>
              <a:schemeClr val="accent2"/>
            </a:solidFill>
            <a:ln>
              <a:noFill/>
            </a:ln>
            <a:effectLst/>
          </c:spPr>
          <c:invertIfNegative val="0"/>
          <c:cat>
            <c:strRef>
              <c:f>Pivot_Table!$C$84:$C$88</c:f>
              <c:strCache>
                <c:ptCount val="4"/>
                <c:pt idx="0">
                  <c:v>Direct</c:v>
                </c:pt>
                <c:pt idx="1">
                  <c:v>Retail</c:v>
                </c:pt>
                <c:pt idx="2">
                  <c:v>Wholesale</c:v>
                </c:pt>
                <c:pt idx="3">
                  <c:v>Online</c:v>
                </c:pt>
              </c:strCache>
            </c:strRef>
          </c:cat>
          <c:val>
            <c:numRef>
              <c:f>Pivot_Table!$E$84:$E$88</c:f>
              <c:numCache>
                <c:formatCode>0.00%</c:formatCode>
                <c:ptCount val="4"/>
                <c:pt idx="0">
                  <c:v>0.41655631794393516</c:v>
                </c:pt>
                <c:pt idx="1">
                  <c:v>0.20540544123576016</c:v>
                </c:pt>
                <c:pt idx="2">
                  <c:v>0.18988549666885571</c:v>
                </c:pt>
                <c:pt idx="3">
                  <c:v>0.18815274415144892</c:v>
                </c:pt>
              </c:numCache>
            </c:numRef>
          </c:val>
          <c:extLst>
            <c:ext xmlns:c16="http://schemas.microsoft.com/office/drawing/2014/chart" uri="{C3380CC4-5D6E-409C-BE32-E72D297353CC}">
              <c16:uniqueId val="{00000003-96CE-4DE7-87FF-2D6CFBE73835}"/>
            </c:ext>
          </c:extLst>
        </c:ser>
        <c:dLbls>
          <c:showLegendKey val="0"/>
          <c:showVal val="0"/>
          <c:showCatName val="0"/>
          <c:showSerName val="0"/>
          <c:showPercent val="0"/>
          <c:showBubbleSize val="0"/>
        </c:dLbls>
        <c:gapWidth val="219"/>
        <c:overlap val="-27"/>
        <c:axId val="565991448"/>
        <c:axId val="565992528"/>
      </c:barChart>
      <c:catAx>
        <c:axId val="565991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992528"/>
        <c:crosses val="autoZero"/>
        <c:auto val="1"/>
        <c:lblAlgn val="ctr"/>
        <c:lblOffset val="100"/>
        <c:noMultiLvlLbl val="0"/>
      </c:catAx>
      <c:valAx>
        <c:axId val="56599252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991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sale by year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Pivot_Table!$D$8</c:f>
              <c:strCache>
                <c:ptCount val="1"/>
                <c:pt idx="0">
                  <c:v>Sum of Total Sale</c:v>
                </c:pt>
              </c:strCache>
            </c:strRef>
          </c:tx>
          <c:spPr>
            <a:solidFill>
              <a:schemeClr val="accent1"/>
            </a:solidFill>
            <a:ln>
              <a:noFill/>
            </a:ln>
            <a:effectLst/>
          </c:spPr>
          <c:invertIfNegative val="0"/>
          <c:cat>
            <c:strRef>
              <c:f>Pivot_Table!$C$9:$C$12</c:f>
              <c:strCache>
                <c:ptCount val="3"/>
                <c:pt idx="0">
                  <c:v>2023</c:v>
                </c:pt>
                <c:pt idx="1">
                  <c:v>2024</c:v>
                </c:pt>
                <c:pt idx="2">
                  <c:v>2025</c:v>
                </c:pt>
              </c:strCache>
            </c:strRef>
          </c:cat>
          <c:val>
            <c:numRef>
              <c:f>Pivot_Table!$D$9:$D$12</c:f>
              <c:numCache>
                <c:formatCode>_-[$₦-46A]* #,##0.00_-;\-[$₦-46A]* #,##0.00_-;_-[$₦-46A]* "-"??_-;_-@_-</c:formatCode>
                <c:ptCount val="3"/>
                <c:pt idx="0">
                  <c:v>806870508.77000034</c:v>
                </c:pt>
                <c:pt idx="1">
                  <c:v>2204183152.8099999</c:v>
                </c:pt>
                <c:pt idx="2">
                  <c:v>1023539911.2300004</c:v>
                </c:pt>
              </c:numCache>
            </c:numRef>
          </c:val>
          <c:extLst>
            <c:ext xmlns:c16="http://schemas.microsoft.com/office/drawing/2014/chart" uri="{C3380CC4-5D6E-409C-BE32-E72D297353CC}">
              <c16:uniqueId val="{00000000-9B30-4C3D-9D85-AFE4DD2CF455}"/>
            </c:ext>
          </c:extLst>
        </c:ser>
        <c:ser>
          <c:idx val="1"/>
          <c:order val="1"/>
          <c:tx>
            <c:strRef>
              <c:f>Pivot_Table!$E$8</c:f>
              <c:strCache>
                <c:ptCount val="1"/>
                <c:pt idx="0">
                  <c:v>% of sale by year</c:v>
                </c:pt>
              </c:strCache>
            </c:strRef>
          </c:tx>
          <c:spPr>
            <a:solidFill>
              <a:schemeClr val="accent2"/>
            </a:solidFill>
            <a:ln>
              <a:noFill/>
            </a:ln>
            <a:effectLst/>
          </c:spPr>
          <c:invertIfNegative val="0"/>
          <c:cat>
            <c:strRef>
              <c:f>Pivot_Table!$C$9:$C$12</c:f>
              <c:strCache>
                <c:ptCount val="3"/>
                <c:pt idx="0">
                  <c:v>2023</c:v>
                </c:pt>
                <c:pt idx="1">
                  <c:v>2024</c:v>
                </c:pt>
                <c:pt idx="2">
                  <c:v>2025</c:v>
                </c:pt>
              </c:strCache>
            </c:strRef>
          </c:cat>
          <c:val>
            <c:numRef>
              <c:f>Pivot_Table!$E$9:$E$12</c:f>
              <c:numCache>
                <c:formatCode>0.00%</c:formatCode>
                <c:ptCount val="3"/>
                <c:pt idx="0">
                  <c:v>0.1999880518840052</c:v>
                </c:pt>
                <c:pt idx="1">
                  <c:v>0.54632098947077767</c:v>
                </c:pt>
                <c:pt idx="2">
                  <c:v>0.25369095864521701</c:v>
                </c:pt>
              </c:numCache>
            </c:numRef>
          </c:val>
          <c:extLst>
            <c:ext xmlns:c16="http://schemas.microsoft.com/office/drawing/2014/chart" uri="{C3380CC4-5D6E-409C-BE32-E72D297353CC}">
              <c16:uniqueId val="{00000001-9B30-4C3D-9D85-AFE4DD2CF455}"/>
            </c:ext>
          </c:extLst>
        </c:ser>
        <c:dLbls>
          <c:showLegendKey val="0"/>
          <c:showVal val="0"/>
          <c:showCatName val="0"/>
          <c:showSerName val="0"/>
          <c:showPercent val="0"/>
          <c:showBubbleSize val="0"/>
        </c:dLbls>
        <c:gapWidth val="219"/>
        <c:overlap val="-27"/>
        <c:axId val="567611288"/>
        <c:axId val="567611648"/>
      </c:barChart>
      <c:catAx>
        <c:axId val="56761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7611648"/>
        <c:crosses val="autoZero"/>
        <c:auto val="1"/>
        <c:lblAlgn val="ctr"/>
        <c:lblOffset val="100"/>
        <c:noMultiLvlLbl val="0"/>
      </c:catAx>
      <c:valAx>
        <c:axId val="56761164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761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[Nigeria_messy_sales_dataset2023_2025.xlsx]Pivot_Table!PivotTable13</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Sales Trend by Year 2023–2025</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Pivot_Table!$D$117:$D$118</c:f>
              <c:strCache>
                <c:ptCount val="1"/>
                <c:pt idx="0">
                  <c:v>2023</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Pivot_Table!$D$119:$D$131</c:f>
              <c:numCache>
                <c:formatCode>_-[$₦-46A]* #,##0.00_-;\-[$₦-46A]* #,##0.00_-;_-[$₦-46A]* "-"??_-;_-@_-</c:formatCode>
                <c:ptCount val="12"/>
                <c:pt idx="0">
                  <c:v>1424075.52</c:v>
                </c:pt>
                <c:pt idx="1">
                  <c:v>40772204.659999996</c:v>
                </c:pt>
                <c:pt idx="2">
                  <c:v>24406000.670000002</c:v>
                </c:pt>
                <c:pt idx="3">
                  <c:v>22756269.66</c:v>
                </c:pt>
                <c:pt idx="4">
                  <c:v>25946803.549999997</c:v>
                </c:pt>
                <c:pt idx="5">
                  <c:v>29327925.359999999</c:v>
                </c:pt>
                <c:pt idx="6">
                  <c:v>76703436.610000014</c:v>
                </c:pt>
                <c:pt idx="7">
                  <c:v>108155756.61</c:v>
                </c:pt>
                <c:pt idx="8">
                  <c:v>52036712.270000011</c:v>
                </c:pt>
                <c:pt idx="9">
                  <c:v>205912102.83999997</c:v>
                </c:pt>
                <c:pt idx="10">
                  <c:v>128792403.13999999</c:v>
                </c:pt>
                <c:pt idx="11">
                  <c:v>90636817.88000001</c:v>
                </c:pt>
              </c:numCache>
            </c:numRef>
          </c:val>
          <c:smooth val="0"/>
          <c:extLst>
            <c:ext xmlns:c16="http://schemas.microsoft.com/office/drawing/2014/chart" uri="{C3380CC4-5D6E-409C-BE32-E72D297353CC}">
              <c16:uniqueId val="{00000000-67F0-4F67-ABF0-4A739FEC9D67}"/>
            </c:ext>
          </c:extLst>
        </c:ser>
        <c:ser>
          <c:idx val="1"/>
          <c:order val="1"/>
          <c:tx>
            <c:strRef>
              <c:f>Pivot_Table!$E$117:$E$118</c:f>
              <c:strCache>
                <c:ptCount val="1"/>
                <c:pt idx="0">
                  <c:v>2024</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Pivot_Table!$E$119:$E$131</c:f>
              <c:numCache>
                <c:formatCode>_-[$₦-46A]* #,##0.00_-;\-[$₦-46A]* #,##0.00_-;_-[$₦-46A]* "-"??_-;_-@_-</c:formatCode>
                <c:ptCount val="12"/>
                <c:pt idx="0">
                  <c:v>190824767.58000001</c:v>
                </c:pt>
                <c:pt idx="1">
                  <c:v>169898631.5</c:v>
                </c:pt>
                <c:pt idx="2">
                  <c:v>220440721.25999999</c:v>
                </c:pt>
                <c:pt idx="3">
                  <c:v>159452283.73999998</c:v>
                </c:pt>
                <c:pt idx="4">
                  <c:v>190114322.75000006</c:v>
                </c:pt>
                <c:pt idx="5">
                  <c:v>166585235.47999999</c:v>
                </c:pt>
                <c:pt idx="6">
                  <c:v>217909596.40000001</c:v>
                </c:pt>
                <c:pt idx="7">
                  <c:v>147863661.69</c:v>
                </c:pt>
                <c:pt idx="8">
                  <c:v>183214309.19999996</c:v>
                </c:pt>
                <c:pt idx="9">
                  <c:v>175917774.77999997</c:v>
                </c:pt>
                <c:pt idx="10">
                  <c:v>187984376.63999999</c:v>
                </c:pt>
                <c:pt idx="11">
                  <c:v>193977471.78999999</c:v>
                </c:pt>
              </c:numCache>
            </c:numRef>
          </c:val>
          <c:smooth val="0"/>
          <c:extLst>
            <c:ext xmlns:c16="http://schemas.microsoft.com/office/drawing/2014/chart" uri="{C3380CC4-5D6E-409C-BE32-E72D297353CC}">
              <c16:uniqueId val="{00000001-67F0-4F67-ABF0-4A739FEC9D67}"/>
            </c:ext>
          </c:extLst>
        </c:ser>
        <c:ser>
          <c:idx val="2"/>
          <c:order val="2"/>
          <c:tx>
            <c:strRef>
              <c:f>Pivot_Table!$F$117:$F$118</c:f>
              <c:strCache>
                <c:ptCount val="1"/>
                <c:pt idx="0">
                  <c:v>2025</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Pivot_Table!$F$119:$F$131</c:f>
              <c:numCache>
                <c:formatCode>_-[$₦-46A]* #,##0.00_-;\-[$₦-46A]* #,##0.00_-;_-[$₦-46A]* "-"??_-;_-@_-</c:formatCode>
                <c:ptCount val="12"/>
                <c:pt idx="0">
                  <c:v>157263124.08000001</c:v>
                </c:pt>
                <c:pt idx="1">
                  <c:v>143940267.50999999</c:v>
                </c:pt>
                <c:pt idx="2">
                  <c:v>134450342.22999999</c:v>
                </c:pt>
                <c:pt idx="3">
                  <c:v>154412256.93999997</c:v>
                </c:pt>
                <c:pt idx="4">
                  <c:v>156990968.65000001</c:v>
                </c:pt>
                <c:pt idx="5">
                  <c:v>84449834.090000004</c:v>
                </c:pt>
                <c:pt idx="6">
                  <c:v>3396215.2600000002</c:v>
                </c:pt>
                <c:pt idx="7">
                  <c:v>46040056.889999993</c:v>
                </c:pt>
                <c:pt idx="8">
                  <c:v>24285204.419999998</c:v>
                </c:pt>
                <c:pt idx="9">
                  <c:v>53993135.769999996</c:v>
                </c:pt>
                <c:pt idx="10">
                  <c:v>46368411.180000007</c:v>
                </c:pt>
                <c:pt idx="11">
                  <c:v>17950094.210000001</c:v>
                </c:pt>
              </c:numCache>
            </c:numRef>
          </c:val>
          <c:smooth val="0"/>
          <c:extLst>
            <c:ext xmlns:c16="http://schemas.microsoft.com/office/drawing/2014/chart" uri="{C3380CC4-5D6E-409C-BE32-E72D297353CC}">
              <c16:uniqueId val="{00000005-67F0-4F67-ABF0-4A739FEC9D6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85612296"/>
        <c:axId val="1085610136"/>
      </c:lineChart>
      <c:catAx>
        <c:axId val="1085612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85610136"/>
        <c:crosses val="autoZero"/>
        <c:auto val="1"/>
        <c:lblAlgn val="ctr"/>
        <c:lblOffset val="100"/>
        <c:noMultiLvlLbl val="0"/>
      </c:catAx>
      <c:valAx>
        <c:axId val="108561013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856122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baseline="0"/>
              <a:t>Total Sales and % Contribution by Sales Channel (2023–2025)</a:t>
            </a:r>
            <a:endParaRPr lang="en-US" sz="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Pivot_Table!$D$97</c:f>
              <c:strCache>
                <c:ptCount val="1"/>
                <c:pt idx="0">
                  <c:v>Sum of Total Sale</c:v>
                </c:pt>
              </c:strCache>
            </c:strRef>
          </c:tx>
          <c:spPr>
            <a:solidFill>
              <a:schemeClr val="accent1"/>
            </a:solidFill>
            <a:ln>
              <a:noFill/>
            </a:ln>
            <a:effectLst/>
          </c:spPr>
          <c:invertIfNegative val="0"/>
          <c:cat>
            <c:strRef>
              <c:f>Pivot_Table!$C$98:$C$102</c:f>
              <c:strCache>
                <c:ptCount val="4"/>
                <c:pt idx="0">
                  <c:v>Direct</c:v>
                </c:pt>
                <c:pt idx="1">
                  <c:v>Online</c:v>
                </c:pt>
                <c:pt idx="2">
                  <c:v>Retail</c:v>
                </c:pt>
                <c:pt idx="3">
                  <c:v>Wholesale</c:v>
                </c:pt>
              </c:strCache>
            </c:strRef>
          </c:cat>
          <c:val>
            <c:numRef>
              <c:f>Pivot_Table!$D$98:$D$102</c:f>
              <c:numCache>
                <c:formatCode>_-[$₦-46A]* #,##0.00_-;\-[$₦-46A]* #,##0.00_-;_-[$₦-46A]* "-"??_-;_-@_-</c:formatCode>
                <c:ptCount val="4"/>
                <c:pt idx="0">
                  <c:v>1680635443.0899997</c:v>
                </c:pt>
                <c:pt idx="1">
                  <c:v>759119852.26000011</c:v>
                </c:pt>
                <c:pt idx="2">
                  <c:v>828727473.03000009</c:v>
                </c:pt>
                <c:pt idx="3">
                  <c:v>766110804.42999995</c:v>
                </c:pt>
              </c:numCache>
            </c:numRef>
          </c:val>
          <c:extLst>
            <c:ext xmlns:c16="http://schemas.microsoft.com/office/drawing/2014/chart" uri="{C3380CC4-5D6E-409C-BE32-E72D297353CC}">
              <c16:uniqueId val="{00000000-A6C4-42FE-B255-09B1B6898503}"/>
            </c:ext>
          </c:extLst>
        </c:ser>
        <c:dLbls>
          <c:showLegendKey val="0"/>
          <c:showVal val="0"/>
          <c:showCatName val="0"/>
          <c:showSerName val="0"/>
          <c:showPercent val="0"/>
          <c:showBubbleSize val="0"/>
        </c:dLbls>
        <c:gapWidth val="219"/>
        <c:axId val="1085606176"/>
        <c:axId val="1085601496"/>
      </c:barChart>
      <c:lineChart>
        <c:grouping val="standard"/>
        <c:varyColors val="0"/>
        <c:ser>
          <c:idx val="1"/>
          <c:order val="1"/>
          <c:tx>
            <c:strRef>
              <c:f>Pivot_Table!$E$97</c:f>
              <c:strCache>
                <c:ptCount val="1"/>
                <c:pt idx="0">
                  <c:v>% of Total Sale</c:v>
                </c:pt>
              </c:strCache>
            </c:strRef>
          </c:tx>
          <c:spPr>
            <a:ln w="28575" cap="rnd">
              <a:solidFill>
                <a:schemeClr val="accent2"/>
              </a:solidFill>
              <a:round/>
            </a:ln>
            <a:effectLst/>
          </c:spPr>
          <c:marker>
            <c:symbol val="none"/>
          </c:marker>
          <c:cat>
            <c:strRef>
              <c:f>Pivot_Table!$C$98:$C$102</c:f>
              <c:strCache>
                <c:ptCount val="4"/>
                <c:pt idx="0">
                  <c:v>Direct</c:v>
                </c:pt>
                <c:pt idx="1">
                  <c:v>Online</c:v>
                </c:pt>
                <c:pt idx="2">
                  <c:v>Retail</c:v>
                </c:pt>
                <c:pt idx="3">
                  <c:v>Wholesale</c:v>
                </c:pt>
              </c:strCache>
            </c:strRef>
          </c:cat>
          <c:val>
            <c:numRef>
              <c:f>Pivot_Table!$E$98:$E$102</c:f>
              <c:numCache>
                <c:formatCode>0.00%</c:formatCode>
                <c:ptCount val="4"/>
                <c:pt idx="0">
                  <c:v>0.41655631794393516</c:v>
                </c:pt>
                <c:pt idx="1">
                  <c:v>0.18815274415144892</c:v>
                </c:pt>
                <c:pt idx="2">
                  <c:v>0.20540544123576016</c:v>
                </c:pt>
                <c:pt idx="3">
                  <c:v>0.18988549666885571</c:v>
                </c:pt>
              </c:numCache>
            </c:numRef>
          </c:val>
          <c:smooth val="0"/>
          <c:extLst>
            <c:ext xmlns:c16="http://schemas.microsoft.com/office/drawing/2014/chart" uri="{C3380CC4-5D6E-409C-BE32-E72D297353CC}">
              <c16:uniqueId val="{00000001-A6C4-42FE-B255-09B1B6898503}"/>
            </c:ext>
          </c:extLst>
        </c:ser>
        <c:dLbls>
          <c:showLegendKey val="0"/>
          <c:showVal val="0"/>
          <c:showCatName val="0"/>
          <c:showSerName val="0"/>
          <c:showPercent val="0"/>
          <c:showBubbleSize val="0"/>
        </c:dLbls>
        <c:marker val="1"/>
        <c:smooth val="0"/>
        <c:axId val="1085606176"/>
        <c:axId val="1085601496"/>
      </c:lineChart>
      <c:catAx>
        <c:axId val="10856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01496"/>
        <c:crosses val="autoZero"/>
        <c:auto val="1"/>
        <c:lblAlgn val="ctr"/>
        <c:lblOffset val="100"/>
        <c:noMultiLvlLbl val="0"/>
      </c:catAx>
      <c:valAx>
        <c:axId val="108560149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0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[Nigeria_messy_sales_dataset2023_2025.xlsx]Pivot_Table!PivotTable22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sales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Pivot_Table!$D$151</c:f>
              <c:strCache>
                <c:ptCount val="1"/>
                <c:pt idx="0">
                  <c:v>Total</c:v>
                </c:pt>
              </c:strCache>
            </c:strRef>
          </c:tx>
          <c:spPr>
            <a:solidFill>
              <a:schemeClr val="accent1"/>
            </a:solidFill>
            <a:ln>
              <a:noFill/>
            </a:ln>
            <a:effectLst/>
          </c:spPr>
          <c:invertIfNegative val="0"/>
          <c:cat>
            <c:strRef>
              <c:f>Pivot_Table!$C$152:$C$160</c:f>
              <c:strCache>
                <c:ptCount val="8"/>
                <c:pt idx="0">
                  <c:v>Keyboard</c:v>
                </c:pt>
                <c:pt idx="1">
                  <c:v>Tablet</c:v>
                </c:pt>
                <c:pt idx="2">
                  <c:v>Phone</c:v>
                </c:pt>
                <c:pt idx="3">
                  <c:v>Monitor</c:v>
                </c:pt>
                <c:pt idx="4">
                  <c:v>Laptop</c:v>
                </c:pt>
                <c:pt idx="5">
                  <c:v>Headphones</c:v>
                </c:pt>
                <c:pt idx="6">
                  <c:v>Charger</c:v>
                </c:pt>
                <c:pt idx="7">
                  <c:v>Camera</c:v>
                </c:pt>
              </c:strCache>
            </c:strRef>
          </c:cat>
          <c:val>
            <c:numRef>
              <c:f>Pivot_Table!$D$152:$D$160</c:f>
              <c:numCache>
                <c:formatCode>_-[$₦-46A]* #,##0.00_-;\-[$₦-46A]* #,##0.00_-;_-[$₦-46A]* "-"??_-;_-@_-</c:formatCode>
                <c:ptCount val="8"/>
                <c:pt idx="0">
                  <c:v>735433620.33000004</c:v>
                </c:pt>
                <c:pt idx="1">
                  <c:v>635827549.55000007</c:v>
                </c:pt>
                <c:pt idx="2">
                  <c:v>508493452.91000009</c:v>
                </c:pt>
                <c:pt idx="3">
                  <c:v>490481030.85000008</c:v>
                </c:pt>
                <c:pt idx="4">
                  <c:v>443304506.38999993</c:v>
                </c:pt>
                <c:pt idx="5">
                  <c:v>434915632.62999994</c:v>
                </c:pt>
                <c:pt idx="6">
                  <c:v>401620024.94</c:v>
                </c:pt>
                <c:pt idx="7">
                  <c:v>384517755.20999992</c:v>
                </c:pt>
              </c:numCache>
            </c:numRef>
          </c:val>
          <c:extLst>
            <c:ext xmlns:c16="http://schemas.microsoft.com/office/drawing/2014/chart" uri="{C3380CC4-5D6E-409C-BE32-E72D297353CC}">
              <c16:uniqueId val="{00000000-2984-4FC9-906F-ABC2C210E86D}"/>
            </c:ext>
          </c:extLst>
        </c:ser>
        <c:dLbls>
          <c:showLegendKey val="0"/>
          <c:showVal val="0"/>
          <c:showCatName val="0"/>
          <c:showSerName val="0"/>
          <c:showPercent val="0"/>
          <c:showBubbleSize val="0"/>
        </c:dLbls>
        <c:gapWidth val="219"/>
        <c:overlap val="-27"/>
        <c:axId val="1091743768"/>
        <c:axId val="1091750248"/>
      </c:barChart>
      <c:catAx>
        <c:axId val="1091743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50248"/>
        <c:crosses val="autoZero"/>
        <c:auto val="1"/>
        <c:lblAlgn val="ctr"/>
        <c:lblOffset val="100"/>
        <c:noMultiLvlLbl val="0"/>
      </c:catAx>
      <c:valAx>
        <c:axId val="109175024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43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r>
              <a:rPr lang="en-US" sz="1200" b="1" baseline="0"/>
              <a:t> sale by year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Pivot_Table!$D$8</c:f>
              <c:strCache>
                <c:ptCount val="1"/>
                <c:pt idx="0">
                  <c:v>Sum of Total Sale</c:v>
                </c:pt>
              </c:strCache>
            </c:strRef>
          </c:tx>
          <c:spPr>
            <a:solidFill>
              <a:schemeClr val="accent1"/>
            </a:solidFill>
            <a:ln>
              <a:noFill/>
            </a:ln>
            <a:effectLst/>
          </c:spPr>
          <c:invertIfNegative val="0"/>
          <c:cat>
            <c:strRef>
              <c:f>Pivot_Table!$C$9:$C$12</c:f>
              <c:strCache>
                <c:ptCount val="3"/>
                <c:pt idx="0">
                  <c:v>2023</c:v>
                </c:pt>
                <c:pt idx="1">
                  <c:v>2024</c:v>
                </c:pt>
                <c:pt idx="2">
                  <c:v>2025</c:v>
                </c:pt>
              </c:strCache>
            </c:strRef>
          </c:cat>
          <c:val>
            <c:numRef>
              <c:f>Pivot_Table!$D$9:$D$12</c:f>
              <c:numCache>
                <c:formatCode>_-[$₦-46A]* #,##0.00_-;\-[$₦-46A]* #,##0.00_-;_-[$₦-46A]* "-"??_-;_-@_-</c:formatCode>
                <c:ptCount val="3"/>
                <c:pt idx="0">
                  <c:v>806870508.77000034</c:v>
                </c:pt>
                <c:pt idx="1">
                  <c:v>2204183152.8099999</c:v>
                </c:pt>
                <c:pt idx="2">
                  <c:v>1023539911.2300004</c:v>
                </c:pt>
              </c:numCache>
            </c:numRef>
          </c:val>
          <c:extLst>
            <c:ext xmlns:c16="http://schemas.microsoft.com/office/drawing/2014/chart" uri="{C3380CC4-5D6E-409C-BE32-E72D297353CC}">
              <c16:uniqueId val="{00000000-5F71-47F1-8794-F99B03009006}"/>
            </c:ext>
          </c:extLst>
        </c:ser>
        <c:ser>
          <c:idx val="1"/>
          <c:order val="1"/>
          <c:tx>
            <c:strRef>
              <c:f>Pivot_Table!$E$8</c:f>
              <c:strCache>
                <c:ptCount val="1"/>
                <c:pt idx="0">
                  <c:v>% of sale by year</c:v>
                </c:pt>
              </c:strCache>
            </c:strRef>
          </c:tx>
          <c:spPr>
            <a:solidFill>
              <a:schemeClr val="accent2"/>
            </a:solidFill>
            <a:ln>
              <a:noFill/>
            </a:ln>
            <a:effectLst/>
          </c:spPr>
          <c:invertIfNegative val="0"/>
          <c:cat>
            <c:strRef>
              <c:f>Pivot_Table!$C$9:$C$12</c:f>
              <c:strCache>
                <c:ptCount val="3"/>
                <c:pt idx="0">
                  <c:v>2023</c:v>
                </c:pt>
                <c:pt idx="1">
                  <c:v>2024</c:v>
                </c:pt>
                <c:pt idx="2">
                  <c:v>2025</c:v>
                </c:pt>
              </c:strCache>
            </c:strRef>
          </c:cat>
          <c:val>
            <c:numRef>
              <c:f>Pivot_Table!$E$9:$E$12</c:f>
              <c:numCache>
                <c:formatCode>0.00%</c:formatCode>
                <c:ptCount val="3"/>
                <c:pt idx="0">
                  <c:v>0.1999880518840052</c:v>
                </c:pt>
                <c:pt idx="1">
                  <c:v>0.54632098947077767</c:v>
                </c:pt>
                <c:pt idx="2">
                  <c:v>0.25369095864521701</c:v>
                </c:pt>
              </c:numCache>
            </c:numRef>
          </c:val>
          <c:extLst>
            <c:ext xmlns:c16="http://schemas.microsoft.com/office/drawing/2014/chart" uri="{C3380CC4-5D6E-409C-BE32-E72D297353CC}">
              <c16:uniqueId val="{00000001-5F71-47F1-8794-F99B03009006}"/>
            </c:ext>
          </c:extLst>
        </c:ser>
        <c:dLbls>
          <c:showLegendKey val="0"/>
          <c:showVal val="0"/>
          <c:showCatName val="0"/>
          <c:showSerName val="0"/>
          <c:showPercent val="0"/>
          <c:showBubbleSize val="0"/>
        </c:dLbls>
        <c:gapWidth val="219"/>
        <c:overlap val="-27"/>
        <c:axId val="567611288"/>
        <c:axId val="567611648"/>
      </c:barChart>
      <c:catAx>
        <c:axId val="56761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7611648"/>
        <c:crosses val="autoZero"/>
        <c:auto val="1"/>
        <c:lblAlgn val="ctr"/>
        <c:lblOffset val="100"/>
        <c:noMultiLvlLbl val="0"/>
      </c:catAx>
      <c:valAx>
        <c:axId val="56761164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7611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[Nigeria_messy_sales_dataset2023_2025.xlsx]Pivot_Table!PivotTable9</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900" b="1"/>
              <a:t>Customer status by sale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Pivot_Table!$D$55</c:f>
              <c:strCache>
                <c:ptCount val="1"/>
                <c:pt idx="0">
                  <c:v>Sum of Total Sale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72-4624-B479-FA53D156866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72-4624-B479-FA53D15686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Pivot_Table!$C$56:$C$58</c:f>
              <c:strCache>
                <c:ptCount val="2"/>
                <c:pt idx="0">
                  <c:v>Identified</c:v>
                </c:pt>
                <c:pt idx="1">
                  <c:v>Unidentified</c:v>
                </c:pt>
              </c:strCache>
            </c:strRef>
          </c:cat>
          <c:val>
            <c:numRef>
              <c:f>Pivot_Table!$D$56:$D$58</c:f>
              <c:numCache>
                <c:formatCode>_-[$₦-46A]* #,##0.00_-;\-[$₦-46A]* #,##0.00_-;_-[$₦-46A]* "-"??_-;_-@_-</c:formatCode>
                <c:ptCount val="2"/>
                <c:pt idx="0">
                  <c:v>3742481245.0099998</c:v>
                </c:pt>
                <c:pt idx="1">
                  <c:v>292112327.79999995</c:v>
                </c:pt>
              </c:numCache>
            </c:numRef>
          </c:val>
          <c:extLst>
            <c:ext xmlns:c16="http://schemas.microsoft.com/office/drawing/2014/chart" uri="{C3380CC4-5D6E-409C-BE32-E72D297353CC}">
              <c16:uniqueId val="{00000004-F372-4624-B479-FA53D1568668}"/>
            </c:ext>
          </c:extLst>
        </c:ser>
        <c:ser>
          <c:idx val="1"/>
          <c:order val="1"/>
          <c:tx>
            <c:strRef>
              <c:f>Pivot_Table!$E$55</c:f>
              <c:strCache>
                <c:ptCount val="1"/>
                <c:pt idx="0">
                  <c:v>Sum of Total Sale2</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Pivot_Table!$C$56:$C$58</c:f>
              <c:strCache>
                <c:ptCount val="2"/>
                <c:pt idx="0">
                  <c:v>Identified</c:v>
                </c:pt>
                <c:pt idx="1">
                  <c:v>Unidentified</c:v>
                </c:pt>
              </c:strCache>
            </c:strRef>
          </c:cat>
          <c:val>
            <c:numRef>
              <c:f>Pivot_Table!$E$56:$E$58</c:f>
              <c:numCache>
                <c:formatCode>0.00%</c:formatCode>
                <c:ptCount val="2"/>
                <c:pt idx="0">
                  <c:v>0.92759807833715691</c:v>
                </c:pt>
                <c:pt idx="1">
                  <c:v>7.2401921662843122E-2</c:v>
                </c:pt>
              </c:numCache>
            </c:numRef>
          </c:val>
          <c:extLst>
            <c:ext xmlns:c16="http://schemas.microsoft.com/office/drawing/2014/chart" uri="{C3380CC4-5D6E-409C-BE32-E72D297353CC}">
              <c16:uniqueId val="{00000005-F372-4624-B479-FA53D156866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[Nigeria_messy_sales_dataset2023_2025.xlsx]Pivot_Table!PivotTable13</c:name>
    <c:fmtId val="18"/>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sz="1000" b="1"/>
              <a:t>Monthly Sales Trend by Year 2023–2025</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Pivot_Table!$D$117:$D$118</c:f>
              <c:strCache>
                <c:ptCount val="1"/>
                <c:pt idx="0">
                  <c:v>2023</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Pivot_Table!$D$119:$D$131</c:f>
              <c:numCache>
                <c:formatCode>_-[$₦-46A]* #,##0.00_-;\-[$₦-46A]* #,##0.00_-;_-[$₦-46A]* "-"??_-;_-@_-</c:formatCode>
                <c:ptCount val="12"/>
                <c:pt idx="0">
                  <c:v>1424075.52</c:v>
                </c:pt>
                <c:pt idx="1">
                  <c:v>40772204.659999996</c:v>
                </c:pt>
                <c:pt idx="2">
                  <c:v>24406000.670000002</c:v>
                </c:pt>
                <c:pt idx="3">
                  <c:v>22756269.66</c:v>
                </c:pt>
                <c:pt idx="4">
                  <c:v>25946803.549999997</c:v>
                </c:pt>
                <c:pt idx="5">
                  <c:v>29327925.359999999</c:v>
                </c:pt>
                <c:pt idx="6">
                  <c:v>76703436.610000014</c:v>
                </c:pt>
                <c:pt idx="7">
                  <c:v>108155756.61</c:v>
                </c:pt>
                <c:pt idx="8">
                  <c:v>52036712.270000011</c:v>
                </c:pt>
                <c:pt idx="9">
                  <c:v>205912102.83999997</c:v>
                </c:pt>
                <c:pt idx="10">
                  <c:v>128792403.13999999</c:v>
                </c:pt>
                <c:pt idx="11">
                  <c:v>90636817.88000001</c:v>
                </c:pt>
              </c:numCache>
            </c:numRef>
          </c:val>
          <c:smooth val="0"/>
          <c:extLst>
            <c:ext xmlns:c16="http://schemas.microsoft.com/office/drawing/2014/chart" uri="{C3380CC4-5D6E-409C-BE32-E72D297353CC}">
              <c16:uniqueId val="{00000000-14F3-41EE-A621-4FB727024B08}"/>
            </c:ext>
          </c:extLst>
        </c:ser>
        <c:ser>
          <c:idx val="1"/>
          <c:order val="1"/>
          <c:tx>
            <c:strRef>
              <c:f>Pivot_Table!$E$117:$E$118</c:f>
              <c:strCache>
                <c:ptCount val="1"/>
                <c:pt idx="0">
                  <c:v>2024</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Pivot_Table!$E$119:$E$131</c:f>
              <c:numCache>
                <c:formatCode>_-[$₦-46A]* #,##0.00_-;\-[$₦-46A]* #,##0.00_-;_-[$₦-46A]* "-"??_-;_-@_-</c:formatCode>
                <c:ptCount val="12"/>
                <c:pt idx="0">
                  <c:v>190824767.58000001</c:v>
                </c:pt>
                <c:pt idx="1">
                  <c:v>169898631.5</c:v>
                </c:pt>
                <c:pt idx="2">
                  <c:v>220440721.25999999</c:v>
                </c:pt>
                <c:pt idx="3">
                  <c:v>159452283.73999998</c:v>
                </c:pt>
                <c:pt idx="4">
                  <c:v>190114322.75000006</c:v>
                </c:pt>
                <c:pt idx="5">
                  <c:v>166585235.47999999</c:v>
                </c:pt>
                <c:pt idx="6">
                  <c:v>217909596.40000001</c:v>
                </c:pt>
                <c:pt idx="7">
                  <c:v>147863661.69</c:v>
                </c:pt>
                <c:pt idx="8">
                  <c:v>183214309.19999996</c:v>
                </c:pt>
                <c:pt idx="9">
                  <c:v>175917774.77999997</c:v>
                </c:pt>
                <c:pt idx="10">
                  <c:v>187984376.63999999</c:v>
                </c:pt>
                <c:pt idx="11">
                  <c:v>193977471.78999999</c:v>
                </c:pt>
              </c:numCache>
            </c:numRef>
          </c:val>
          <c:smooth val="0"/>
          <c:extLst>
            <c:ext xmlns:c16="http://schemas.microsoft.com/office/drawing/2014/chart" uri="{C3380CC4-5D6E-409C-BE32-E72D297353CC}">
              <c16:uniqueId val="{00000001-14F3-41EE-A621-4FB727024B08}"/>
            </c:ext>
          </c:extLst>
        </c:ser>
        <c:ser>
          <c:idx val="2"/>
          <c:order val="2"/>
          <c:tx>
            <c:strRef>
              <c:f>Pivot_Table!$F$117:$F$118</c:f>
              <c:strCache>
                <c:ptCount val="1"/>
                <c:pt idx="0">
                  <c:v>2025</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Pivot_Table!$C$119:$C$131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Pivot_Table!$F$119:$F$131</c:f>
              <c:numCache>
                <c:formatCode>_-[$₦-46A]* #,##0.00_-;\-[$₦-46A]* #,##0.00_-;_-[$₦-46A]* "-"??_-;_-@_-</c:formatCode>
                <c:ptCount val="12"/>
                <c:pt idx="0">
                  <c:v>157263124.08000001</c:v>
                </c:pt>
                <c:pt idx="1">
                  <c:v>143940267.50999999</c:v>
                </c:pt>
                <c:pt idx="2">
                  <c:v>134450342.22999999</c:v>
                </c:pt>
                <c:pt idx="3">
                  <c:v>154412256.93999997</c:v>
                </c:pt>
                <c:pt idx="4">
                  <c:v>156990968.65000001</c:v>
                </c:pt>
                <c:pt idx="5">
                  <c:v>84449834.090000004</c:v>
                </c:pt>
                <c:pt idx="6">
                  <c:v>3396215.2600000002</c:v>
                </c:pt>
                <c:pt idx="7">
                  <c:v>46040056.889999993</c:v>
                </c:pt>
                <c:pt idx="8">
                  <c:v>24285204.419999998</c:v>
                </c:pt>
                <c:pt idx="9">
                  <c:v>53993135.769999996</c:v>
                </c:pt>
                <c:pt idx="10">
                  <c:v>46368411.180000007</c:v>
                </c:pt>
                <c:pt idx="11">
                  <c:v>17950094.210000001</c:v>
                </c:pt>
              </c:numCache>
            </c:numRef>
          </c:val>
          <c:smooth val="0"/>
          <c:extLst>
            <c:ext xmlns:c16="http://schemas.microsoft.com/office/drawing/2014/chart" uri="{C3380CC4-5D6E-409C-BE32-E72D297353CC}">
              <c16:uniqueId val="{00000005-14F3-41EE-A621-4FB727024B0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85612296"/>
        <c:axId val="1085610136"/>
      </c:lineChart>
      <c:catAx>
        <c:axId val="1085612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085610136"/>
        <c:crosses val="autoZero"/>
        <c:auto val="1"/>
        <c:lblAlgn val="ctr"/>
        <c:lblOffset val="100"/>
        <c:noMultiLvlLbl val="0"/>
      </c:catAx>
      <c:valAx>
        <c:axId val="108561013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0856122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baseline="0"/>
              <a:t>Total Sales and % Contribution by Sales Channel (2023–2025)</a:t>
            </a:r>
            <a:endParaRPr lang="en-US" sz="800" b="1"/>
          </a:p>
        </c:rich>
      </c:tx>
      <c:layout>
        <c:manualLayout>
          <c:xMode val="edge"/>
          <c:yMode val="edge"/>
          <c:x val="0.26598494120732613"/>
          <c:y val="0.135265597576478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Pivot_Table!$D$97</c:f>
              <c:strCache>
                <c:ptCount val="1"/>
                <c:pt idx="0">
                  <c:v>Sum of Total Sale</c:v>
                </c:pt>
              </c:strCache>
            </c:strRef>
          </c:tx>
          <c:spPr>
            <a:solidFill>
              <a:schemeClr val="accent1"/>
            </a:solidFill>
            <a:ln>
              <a:noFill/>
            </a:ln>
            <a:effectLst/>
          </c:spPr>
          <c:invertIfNegative val="0"/>
          <c:cat>
            <c:strRef>
              <c:f>Pivot_Table!$C$98:$C$102</c:f>
              <c:strCache>
                <c:ptCount val="4"/>
                <c:pt idx="0">
                  <c:v>Direct</c:v>
                </c:pt>
                <c:pt idx="1">
                  <c:v>Online</c:v>
                </c:pt>
                <c:pt idx="2">
                  <c:v>Retail</c:v>
                </c:pt>
                <c:pt idx="3">
                  <c:v>Wholesale</c:v>
                </c:pt>
              </c:strCache>
            </c:strRef>
          </c:cat>
          <c:val>
            <c:numRef>
              <c:f>Pivot_Table!$D$98:$D$102</c:f>
              <c:numCache>
                <c:formatCode>_-[$₦-46A]* #,##0.00_-;\-[$₦-46A]* #,##0.00_-;_-[$₦-46A]* "-"??_-;_-@_-</c:formatCode>
                <c:ptCount val="4"/>
                <c:pt idx="0">
                  <c:v>1680635443.0899997</c:v>
                </c:pt>
                <c:pt idx="1">
                  <c:v>759119852.26000011</c:v>
                </c:pt>
                <c:pt idx="2">
                  <c:v>828727473.03000009</c:v>
                </c:pt>
                <c:pt idx="3">
                  <c:v>766110804.42999995</c:v>
                </c:pt>
              </c:numCache>
            </c:numRef>
          </c:val>
          <c:extLst>
            <c:ext xmlns:c16="http://schemas.microsoft.com/office/drawing/2014/chart" uri="{C3380CC4-5D6E-409C-BE32-E72D297353CC}">
              <c16:uniqueId val="{00000000-A2A5-4693-A59E-D415BA04DB83}"/>
            </c:ext>
          </c:extLst>
        </c:ser>
        <c:dLbls>
          <c:showLegendKey val="0"/>
          <c:showVal val="0"/>
          <c:showCatName val="0"/>
          <c:showSerName val="0"/>
          <c:showPercent val="0"/>
          <c:showBubbleSize val="0"/>
        </c:dLbls>
        <c:gapWidth val="219"/>
        <c:axId val="1085606176"/>
        <c:axId val="1085601496"/>
      </c:barChart>
      <c:lineChart>
        <c:grouping val="standard"/>
        <c:varyColors val="0"/>
        <c:ser>
          <c:idx val="1"/>
          <c:order val="1"/>
          <c:tx>
            <c:strRef>
              <c:f>Pivot_Table!$E$97</c:f>
              <c:strCache>
                <c:ptCount val="1"/>
                <c:pt idx="0">
                  <c:v>% of Total Sale</c:v>
                </c:pt>
              </c:strCache>
            </c:strRef>
          </c:tx>
          <c:spPr>
            <a:ln w="28575" cap="rnd">
              <a:solidFill>
                <a:schemeClr val="accent2"/>
              </a:solidFill>
              <a:round/>
            </a:ln>
            <a:effectLst/>
          </c:spPr>
          <c:marker>
            <c:symbol val="none"/>
          </c:marker>
          <c:cat>
            <c:strRef>
              <c:f>Pivot_Table!$C$98:$C$102</c:f>
              <c:strCache>
                <c:ptCount val="4"/>
                <c:pt idx="0">
                  <c:v>Direct</c:v>
                </c:pt>
                <c:pt idx="1">
                  <c:v>Online</c:v>
                </c:pt>
                <c:pt idx="2">
                  <c:v>Retail</c:v>
                </c:pt>
                <c:pt idx="3">
                  <c:v>Wholesale</c:v>
                </c:pt>
              </c:strCache>
            </c:strRef>
          </c:cat>
          <c:val>
            <c:numRef>
              <c:f>Pivot_Table!$E$98:$E$102</c:f>
              <c:numCache>
                <c:formatCode>0.00%</c:formatCode>
                <c:ptCount val="4"/>
                <c:pt idx="0">
                  <c:v>0.41655631794393516</c:v>
                </c:pt>
                <c:pt idx="1">
                  <c:v>0.18815274415144892</c:v>
                </c:pt>
                <c:pt idx="2">
                  <c:v>0.20540544123576016</c:v>
                </c:pt>
                <c:pt idx="3">
                  <c:v>0.18988549666885571</c:v>
                </c:pt>
              </c:numCache>
            </c:numRef>
          </c:val>
          <c:smooth val="0"/>
          <c:extLst>
            <c:ext xmlns:c16="http://schemas.microsoft.com/office/drawing/2014/chart" uri="{C3380CC4-5D6E-409C-BE32-E72D297353CC}">
              <c16:uniqueId val="{00000001-A2A5-4693-A59E-D415BA04DB83}"/>
            </c:ext>
          </c:extLst>
        </c:ser>
        <c:dLbls>
          <c:showLegendKey val="0"/>
          <c:showVal val="0"/>
          <c:showCatName val="0"/>
          <c:showSerName val="0"/>
          <c:showPercent val="0"/>
          <c:showBubbleSize val="0"/>
        </c:dLbls>
        <c:marker val="1"/>
        <c:smooth val="0"/>
        <c:axId val="1085606176"/>
        <c:axId val="1085601496"/>
      </c:lineChart>
      <c:catAx>
        <c:axId val="10856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01496"/>
        <c:crosses val="autoZero"/>
        <c:auto val="1"/>
        <c:lblAlgn val="ctr"/>
        <c:lblOffset val="100"/>
        <c:noMultiLvlLbl val="0"/>
      </c:catAx>
      <c:valAx>
        <c:axId val="1085601496"/>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0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[Nigeria_messy_sales_dataset2023_2025.xlsx]Pivot_Table!PivotTable10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customer sale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Pivot_Table!$D$66</c:f>
              <c:strCache>
                <c:ptCount val="1"/>
                <c:pt idx="0">
                  <c:v>Total</c:v>
                </c:pt>
              </c:strCache>
            </c:strRef>
          </c:tx>
          <c:spPr>
            <a:solidFill>
              <a:schemeClr val="accent1"/>
            </a:solidFill>
            <a:ln>
              <a:noFill/>
            </a:ln>
            <a:effectLst/>
          </c:spPr>
          <c:invertIfNegative val="0"/>
          <c:cat>
            <c:strRef>
              <c:f>Pivot_Table!$C$67:$C$72</c:f>
              <c:strCache>
                <c:ptCount val="5"/>
                <c:pt idx="0">
                  <c:v>Angela Lin</c:v>
                </c:pt>
                <c:pt idx="1">
                  <c:v>Angela Lopez</c:v>
                </c:pt>
                <c:pt idx="2">
                  <c:v>Jeanette Harrison</c:v>
                </c:pt>
                <c:pt idx="3">
                  <c:v>Laurie Hoffman</c:v>
                </c:pt>
                <c:pt idx="4">
                  <c:v>Michelle Brown</c:v>
                </c:pt>
              </c:strCache>
            </c:strRef>
          </c:cat>
          <c:val>
            <c:numRef>
              <c:f>Pivot_Table!$D$67:$D$72</c:f>
              <c:numCache>
                <c:formatCode>_-[$₦-46A]* #,##0.00_-;\-[$₦-46A]* #,##0.00_-;_-[$₦-46A]* "-"??_-;_-@_-</c:formatCode>
                <c:ptCount val="5"/>
                <c:pt idx="0">
                  <c:v>21985540.600000001</c:v>
                </c:pt>
                <c:pt idx="1">
                  <c:v>26075188.41</c:v>
                </c:pt>
                <c:pt idx="2">
                  <c:v>28734589.799999997</c:v>
                </c:pt>
                <c:pt idx="3">
                  <c:v>19363748.34</c:v>
                </c:pt>
                <c:pt idx="4">
                  <c:v>21572015</c:v>
                </c:pt>
              </c:numCache>
            </c:numRef>
          </c:val>
          <c:extLst>
            <c:ext xmlns:c16="http://schemas.microsoft.com/office/drawing/2014/chart" uri="{C3380CC4-5D6E-409C-BE32-E72D297353CC}">
              <c16:uniqueId val="{00000000-E2F5-4668-8F3D-EAD934ED34FA}"/>
            </c:ext>
          </c:extLst>
        </c:ser>
        <c:dLbls>
          <c:showLegendKey val="0"/>
          <c:showVal val="0"/>
          <c:showCatName val="0"/>
          <c:showSerName val="0"/>
          <c:showPercent val="0"/>
          <c:showBubbleSize val="0"/>
        </c:dLbls>
        <c:gapWidth val="219"/>
        <c:overlap val="-27"/>
        <c:axId val="607900984"/>
        <c:axId val="607900624"/>
      </c:barChart>
      <c:catAx>
        <c:axId val="60790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900624"/>
        <c:crosses val="autoZero"/>
        <c:auto val="1"/>
        <c:lblAlgn val="ctr"/>
        <c:lblOffset val="100"/>
        <c:noMultiLvlLbl val="0"/>
      </c:catAx>
      <c:valAx>
        <c:axId val="607900624"/>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900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123825</xdr:colOff>
      <xdr:row>19</xdr:row>
      <xdr:rowOff>147636</xdr:rowOff>
    </xdr:from>
    <xdr:to>
      <xdr:col>9</xdr:col>
      <xdr:colOff>1266825</xdr:colOff>
      <xdr:row>34</xdr:row>
      <xdr:rowOff>171449</xdr:rowOff>
    </xdr:to>
    <xdr:graphicFrame macro="">
      <xdr:nvGraphicFramePr>
        <xdr:cNvPr id="3" name="Chart 2">
          <a:extLst>
            <a:ext uri="{FF2B5EF4-FFF2-40B4-BE49-F238E27FC236}">
              <a16:creationId xmlns:a16="http://schemas.microsoft.com/office/drawing/2014/main" id="{0EA91A08-6D5F-F2FD-6DAC-2C297CAFB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37</xdr:row>
      <xdr:rowOff>185737</xdr:rowOff>
    </xdr:from>
    <xdr:to>
      <xdr:col>9</xdr:col>
      <xdr:colOff>981075</xdr:colOff>
      <xdr:row>51</xdr:row>
      <xdr:rowOff>171450</xdr:rowOff>
    </xdr:to>
    <xdr:graphicFrame macro="">
      <xdr:nvGraphicFramePr>
        <xdr:cNvPr id="4" name="Chart 3">
          <a:extLst>
            <a:ext uri="{FF2B5EF4-FFF2-40B4-BE49-F238E27FC236}">
              <a16:creationId xmlns:a16="http://schemas.microsoft.com/office/drawing/2014/main" id="{690A031C-3834-7FD8-93D6-3589A103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1152525</xdr:colOff>
      <xdr:row>52</xdr:row>
      <xdr:rowOff>80962</xdr:rowOff>
    </xdr:from>
    <xdr:to>
      <xdr:col>9</xdr:col>
      <xdr:colOff>180975</xdr:colOff>
      <xdr:row>63</xdr:row>
      <xdr:rowOff>95250</xdr:rowOff>
    </xdr:to>
    <xdr:graphicFrame macro="">
      <xdr:nvGraphicFramePr>
        <xdr:cNvPr id="5" name="Chart 4">
          <a:extLst>
            <a:ext uri="{FF2B5EF4-FFF2-40B4-BE49-F238E27FC236}">
              <a16:creationId xmlns:a16="http://schemas.microsoft.com/office/drawing/2014/main" id="{82E9A438-3A08-8B1A-647D-6392998C7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65</xdr:row>
      <xdr:rowOff>23812</xdr:rowOff>
    </xdr:from>
    <xdr:to>
      <xdr:col>9</xdr:col>
      <xdr:colOff>419100</xdr:colOff>
      <xdr:row>79</xdr:row>
      <xdr:rowOff>100012</xdr:rowOff>
    </xdr:to>
    <xdr:graphicFrame macro="">
      <xdr:nvGraphicFramePr>
        <xdr:cNvPr id="7" name="Chart 6">
          <a:extLst>
            <a:ext uri="{FF2B5EF4-FFF2-40B4-BE49-F238E27FC236}">
              <a16:creationId xmlns:a16="http://schemas.microsoft.com/office/drawing/2014/main" id="{404F5724-E11E-E793-3629-BEFB4DB4A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590550</xdr:colOff>
      <xdr:row>80</xdr:row>
      <xdr:rowOff>33337</xdr:rowOff>
    </xdr:from>
    <xdr:to>
      <xdr:col>9</xdr:col>
      <xdr:colOff>1552575</xdr:colOff>
      <xdr:row>93</xdr:row>
      <xdr:rowOff>47625</xdr:rowOff>
    </xdr:to>
    <xdr:graphicFrame macro="">
      <xdr:nvGraphicFramePr>
        <xdr:cNvPr id="8" name="Chart 7">
          <a:extLst>
            <a:ext uri="{FF2B5EF4-FFF2-40B4-BE49-F238E27FC236}">
              <a16:creationId xmlns:a16="http://schemas.microsoft.com/office/drawing/2014/main" id="{7D56DF1B-A4D6-9415-6432-06C9F041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4</xdr:row>
      <xdr:rowOff>176212</xdr:rowOff>
    </xdr:from>
    <xdr:to>
      <xdr:col>10</xdr:col>
      <xdr:colOff>790575</xdr:colOff>
      <xdr:row>19</xdr:row>
      <xdr:rowOff>61912</xdr:rowOff>
    </xdr:to>
    <xdr:graphicFrame macro="">
      <xdr:nvGraphicFramePr>
        <xdr:cNvPr id="9" name="Chart 8">
          <a:extLst>
            <a:ext uri="{FF2B5EF4-FFF2-40B4-BE49-F238E27FC236}">
              <a16:creationId xmlns:a16="http://schemas.microsoft.com/office/drawing/2014/main" id="{1552BD70-BEEE-EAC5-506B-5855E60F3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495300</xdr:colOff>
      <xdr:row>115</xdr:row>
      <xdr:rowOff>185736</xdr:rowOff>
    </xdr:from>
    <xdr:to>
      <xdr:col>12</xdr:col>
      <xdr:colOff>942975</xdr:colOff>
      <xdr:row>132</xdr:row>
      <xdr:rowOff>104775</xdr:rowOff>
    </xdr:to>
    <xdr:graphicFrame macro="">
      <xdr:nvGraphicFramePr>
        <xdr:cNvPr id="11" name="Chart 10">
          <a:extLst>
            <a:ext uri="{FF2B5EF4-FFF2-40B4-BE49-F238E27FC236}">
              <a16:creationId xmlns:a16="http://schemas.microsoft.com/office/drawing/2014/main" id="{7455D670-7B80-F907-3FA4-8FE980E8D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228600</xdr:colOff>
      <xdr:row>94</xdr:row>
      <xdr:rowOff>147637</xdr:rowOff>
    </xdr:from>
    <xdr:to>
      <xdr:col>9</xdr:col>
      <xdr:colOff>638175</xdr:colOff>
      <xdr:row>109</xdr:row>
      <xdr:rowOff>33337</xdr:rowOff>
    </xdr:to>
    <xdr:graphicFrame macro="">
      <xdr:nvGraphicFramePr>
        <xdr:cNvPr id="12" name="Chart 11">
          <a:extLst>
            <a:ext uri="{FF2B5EF4-FFF2-40B4-BE49-F238E27FC236}">
              <a16:creationId xmlns:a16="http://schemas.microsoft.com/office/drawing/2014/main" id="{EF0C3403-F2AE-760E-6F68-C8E0BCAD4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419100</xdr:colOff>
      <xdr:row>147</xdr:row>
      <xdr:rowOff>147637</xdr:rowOff>
    </xdr:from>
    <xdr:to>
      <xdr:col>8</xdr:col>
      <xdr:colOff>333375</xdr:colOff>
      <xdr:row>162</xdr:row>
      <xdr:rowOff>33337</xdr:rowOff>
    </xdr:to>
    <xdr:graphicFrame macro="">
      <xdr:nvGraphicFramePr>
        <xdr:cNvPr id="21" name="Chart 20">
          <a:extLst>
            <a:ext uri="{FF2B5EF4-FFF2-40B4-BE49-F238E27FC236}">
              <a16:creationId xmlns:a16="http://schemas.microsoft.com/office/drawing/2014/main" id="{45771F61-C7BB-17C5-23F7-FD2957766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163285</xdr:colOff>
      <xdr:row>4</xdr:row>
      <xdr:rowOff>95250</xdr:rowOff>
    </xdr:from>
    <xdr:to>
      <xdr:col>24</xdr:col>
      <xdr:colOff>217715</xdr:colOff>
      <xdr:row>43</xdr:row>
      <xdr:rowOff>1</xdr:rowOff>
    </xdr:to>
    <xdr:grpSp>
      <xdr:nvGrpSpPr>
        <xdr:cNvPr id="37" name="Group 36">
          <a:extLst>
            <a:ext uri="{FF2B5EF4-FFF2-40B4-BE49-F238E27FC236}">
              <a16:creationId xmlns:a16="http://schemas.microsoft.com/office/drawing/2014/main" id="{0B597D9F-54B8-49F8-BFA3-B5E9482964F9}"/>
            </a:ext>
          </a:extLst>
        </xdr:cNvPr>
        <xdr:cNvGrpSpPr/>
      </xdr:nvGrpSpPr>
      <xdr:grpSpPr>
        <a:xfrm>
          <a:off x="2612571" y="857250"/>
          <a:ext cx="12300858" cy="7334251"/>
          <a:chOff x="1658581" y="694290"/>
          <a:chExt cx="8683933" cy="5571430"/>
        </a:xfrm>
      </xdr:grpSpPr>
      <xdr:sp macro="" textlink="">
        <xdr:nvSpPr>
          <xdr:cNvPr id="2" name="Rectangle 1">
            <a:extLst>
              <a:ext uri="{FF2B5EF4-FFF2-40B4-BE49-F238E27FC236}">
                <a16:creationId xmlns:a16="http://schemas.microsoft.com/office/drawing/2014/main" id="{2C51C398-C74F-F59A-340C-3CD76A7CB960}"/>
              </a:ext>
            </a:extLst>
          </xdr:cNvPr>
          <xdr:cNvSpPr/>
        </xdr:nvSpPr>
        <xdr:spPr>
          <a:xfrm>
            <a:off x="1658581" y="694290"/>
            <a:ext cx="8683933" cy="557143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pSp>
        <xdr:nvGrpSpPr>
          <xdr:cNvPr id="36" name="Group 35">
            <a:extLst>
              <a:ext uri="{FF2B5EF4-FFF2-40B4-BE49-F238E27FC236}">
                <a16:creationId xmlns:a16="http://schemas.microsoft.com/office/drawing/2014/main" id="{F898F35C-2136-08AC-285D-B1996EC5C9F6}"/>
              </a:ext>
            </a:extLst>
          </xdr:cNvPr>
          <xdr:cNvGrpSpPr/>
        </xdr:nvGrpSpPr>
        <xdr:grpSpPr>
          <a:xfrm>
            <a:off x="1687285" y="721179"/>
            <a:ext cx="8613322" cy="5517696"/>
            <a:chOff x="1687285" y="309564"/>
            <a:chExt cx="8817419" cy="5929311"/>
          </a:xfrm>
        </xdr:grpSpPr>
        <xdr:grpSp>
          <xdr:nvGrpSpPr>
            <xdr:cNvPr id="12" name="Group 11">
              <a:extLst>
                <a:ext uri="{FF2B5EF4-FFF2-40B4-BE49-F238E27FC236}">
                  <a16:creationId xmlns:a16="http://schemas.microsoft.com/office/drawing/2014/main" id="{6DE3E214-D582-23E2-0893-939F0F6ECB98}"/>
                </a:ext>
              </a:extLst>
            </xdr:cNvPr>
            <xdr:cNvGrpSpPr/>
          </xdr:nvGrpSpPr>
          <xdr:grpSpPr>
            <a:xfrm>
              <a:off x="2651682" y="1571625"/>
              <a:ext cx="7853022" cy="4667250"/>
              <a:chOff x="1865539" y="942974"/>
              <a:chExt cx="7307036" cy="5686426"/>
            </a:xfrm>
          </xdr:grpSpPr>
          <xdr:graphicFrame macro="">
            <xdr:nvGraphicFramePr>
              <xdr:cNvPr id="3" name="Chart 2">
                <a:extLst>
                  <a:ext uri="{FF2B5EF4-FFF2-40B4-BE49-F238E27FC236}">
                    <a16:creationId xmlns:a16="http://schemas.microsoft.com/office/drawing/2014/main" id="{AB57621E-083C-4267-8421-994A1CBB2234}"/>
                  </a:ext>
                </a:extLst>
              </xdr:cNvPr>
              <xdr:cNvGraphicFramePr>
                <a:graphicFrameLocks/>
              </xdr:cNvGraphicFramePr>
            </xdr:nvGraphicFramePr>
            <xdr:xfrm>
              <a:off x="5160206" y="957406"/>
              <a:ext cx="4012369" cy="152400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6AB9F655-4774-4596-8C0D-48F74B87A1CE}"/>
                  </a:ext>
                </a:extLst>
              </xdr:cNvPr>
              <xdr:cNvGraphicFramePr>
                <a:graphicFrameLocks/>
              </xdr:cNvGraphicFramePr>
            </xdr:nvGraphicFramePr>
            <xdr:xfrm>
              <a:off x="1894115" y="942974"/>
              <a:ext cx="3328307" cy="160972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C77846E6-3AF7-4613-AAD7-DC7172EF3003}"/>
                  </a:ext>
                </a:extLst>
              </xdr:cNvPr>
              <xdr:cNvGraphicFramePr>
                <a:graphicFrameLocks/>
              </xdr:cNvGraphicFramePr>
            </xdr:nvGraphicFramePr>
            <xdr:xfrm>
              <a:off x="1884589" y="2466974"/>
              <a:ext cx="7287986" cy="197167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E1F03A25-47BC-4A99-B717-6E8A90932621}"/>
                  </a:ext>
                </a:extLst>
              </xdr:cNvPr>
              <xdr:cNvGraphicFramePr>
                <a:graphicFrameLocks/>
              </xdr:cNvGraphicFramePr>
            </xdr:nvGraphicFramePr>
            <xdr:xfrm>
              <a:off x="1865539" y="4429123"/>
              <a:ext cx="2992211" cy="21907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1E3C0A09-052A-4796-86F0-B1749AAD4ABD}"/>
                  </a:ext>
                </a:extLst>
              </xdr:cNvPr>
              <xdr:cNvGraphicFramePr>
                <a:graphicFrameLocks/>
              </xdr:cNvGraphicFramePr>
            </xdr:nvGraphicFramePr>
            <xdr:xfrm>
              <a:off x="4857751" y="4438650"/>
              <a:ext cx="4314824" cy="219075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1" name="Group 30">
              <a:extLst>
                <a:ext uri="{FF2B5EF4-FFF2-40B4-BE49-F238E27FC236}">
                  <a16:creationId xmlns:a16="http://schemas.microsoft.com/office/drawing/2014/main" id="{3C7F5BD0-5C4B-93B2-6905-02FD85CD464A}"/>
                </a:ext>
              </a:extLst>
            </xdr:cNvPr>
            <xdr:cNvGrpSpPr/>
          </xdr:nvGrpSpPr>
          <xdr:grpSpPr>
            <a:xfrm>
              <a:off x="2699316" y="309564"/>
              <a:ext cx="7786348" cy="1231113"/>
              <a:chOff x="1869282" y="333376"/>
              <a:chExt cx="7720014" cy="1231113"/>
            </a:xfrm>
          </xdr:grpSpPr>
          <xdr:sp macro="" textlink="">
            <xdr:nvSpPr>
              <xdr:cNvPr id="13" name="Rectangle 12">
                <a:extLst>
                  <a:ext uri="{FF2B5EF4-FFF2-40B4-BE49-F238E27FC236}">
                    <a16:creationId xmlns:a16="http://schemas.microsoft.com/office/drawing/2014/main" id="{92649A12-E6C8-8A2F-9D1F-8C0EB0B589C7}"/>
                  </a:ext>
                </a:extLst>
              </xdr:cNvPr>
              <xdr:cNvSpPr/>
            </xdr:nvSpPr>
            <xdr:spPr>
              <a:xfrm>
                <a:off x="1869282" y="333376"/>
                <a:ext cx="7715249" cy="3690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Nigeria Sales Data Analytics Dashboard (2023–2025)</a:t>
                </a:r>
              </a:p>
            </xdr:txBody>
          </xdr:sp>
          <xdr:grpSp>
            <xdr:nvGrpSpPr>
              <xdr:cNvPr id="21" name="Group 20">
                <a:extLst>
                  <a:ext uri="{FF2B5EF4-FFF2-40B4-BE49-F238E27FC236}">
                    <a16:creationId xmlns:a16="http://schemas.microsoft.com/office/drawing/2014/main" id="{0634CF99-B090-A9F1-77FE-32B5F9B23BDB}"/>
                  </a:ext>
                </a:extLst>
              </xdr:cNvPr>
              <xdr:cNvGrpSpPr/>
            </xdr:nvGrpSpPr>
            <xdr:grpSpPr>
              <a:xfrm>
                <a:off x="1881187" y="702471"/>
                <a:ext cx="1809752" cy="845341"/>
                <a:chOff x="11100016" y="1973734"/>
                <a:chExt cx="1822320" cy="788292"/>
              </a:xfrm>
            </xdr:grpSpPr>
            <xdr:sp macro="" textlink="">
              <xdr:nvSpPr>
                <xdr:cNvPr id="16" name="Rectangle 15">
                  <a:extLst>
                    <a:ext uri="{FF2B5EF4-FFF2-40B4-BE49-F238E27FC236}">
                      <a16:creationId xmlns:a16="http://schemas.microsoft.com/office/drawing/2014/main" id="{7A511FCC-731A-2DED-BE9E-41D75A322A90}"/>
                    </a:ext>
                  </a:extLst>
                </xdr:cNvPr>
                <xdr:cNvSpPr/>
              </xdr:nvSpPr>
              <xdr:spPr>
                <a:xfrm>
                  <a:off x="11100016" y="1973734"/>
                  <a:ext cx="1822320" cy="788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BAC86D09-E376-7AAC-FDBB-72E48DE3395F}"/>
                    </a:ext>
                  </a:extLst>
                </xdr:cNvPr>
                <xdr:cNvSpPr txBox="1"/>
              </xdr:nvSpPr>
              <xdr:spPr>
                <a:xfrm>
                  <a:off x="11191874" y="2035969"/>
                  <a:ext cx="1631157"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Total Sale</a:t>
                  </a:r>
                  <a:r>
                    <a:rPr lang="en-US" sz="1400">
                      <a:effectLst/>
                    </a:rPr>
                    <a:t> </a:t>
                  </a:r>
                  <a:r>
                    <a:rPr lang="en-US" sz="1400" b="0" i="0" u="none" strike="noStrike">
                      <a:solidFill>
                        <a:schemeClr val="dk1"/>
                      </a:solidFill>
                      <a:effectLst/>
                      <a:latin typeface="+mn-lt"/>
                      <a:ea typeface="+mn-ea"/>
                      <a:cs typeface="+mn-cs"/>
                    </a:rPr>
                    <a:t> </a:t>
                  </a:r>
                </a:p>
                <a:p>
                  <a:r>
                    <a:rPr lang="en-US" sz="1100" b="1" i="0" u="none" strike="noStrike" baseline="0">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₦4,034,593,572.81 </a:t>
                  </a:r>
                  <a:endParaRPr lang="en-US" sz="1400" b="1"/>
                </a:p>
              </xdr:txBody>
            </xdr:sp>
          </xdr:grpSp>
          <xdr:grpSp>
            <xdr:nvGrpSpPr>
              <xdr:cNvPr id="22" name="Group 21">
                <a:extLst>
                  <a:ext uri="{FF2B5EF4-FFF2-40B4-BE49-F238E27FC236}">
                    <a16:creationId xmlns:a16="http://schemas.microsoft.com/office/drawing/2014/main" id="{671E3C3F-9209-3B63-7A3C-8963A06ECB14}"/>
                  </a:ext>
                </a:extLst>
              </xdr:cNvPr>
              <xdr:cNvGrpSpPr/>
            </xdr:nvGrpSpPr>
            <xdr:grpSpPr>
              <a:xfrm>
                <a:off x="3783801" y="711999"/>
                <a:ext cx="2002636" cy="845341"/>
                <a:chOff x="11100016" y="1973734"/>
                <a:chExt cx="1644885" cy="788292"/>
              </a:xfrm>
            </xdr:grpSpPr>
            <xdr:sp macro="" textlink="">
              <xdr:nvSpPr>
                <xdr:cNvPr id="23" name="Rectangle 22">
                  <a:extLst>
                    <a:ext uri="{FF2B5EF4-FFF2-40B4-BE49-F238E27FC236}">
                      <a16:creationId xmlns:a16="http://schemas.microsoft.com/office/drawing/2014/main" id="{EC31F4A7-F99B-F2C6-B9C0-3AC98828E3DD}"/>
                    </a:ext>
                  </a:extLst>
                </xdr:cNvPr>
                <xdr:cNvSpPr/>
              </xdr:nvSpPr>
              <xdr:spPr>
                <a:xfrm>
                  <a:off x="11100016" y="1973734"/>
                  <a:ext cx="1644885" cy="788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C509D152-FFC0-0E83-B3A4-FAE82E1A2BE0}"/>
                    </a:ext>
                  </a:extLst>
                </xdr:cNvPr>
                <xdr:cNvSpPr txBox="1"/>
              </xdr:nvSpPr>
              <xdr:spPr>
                <a:xfrm>
                  <a:off x="11191875" y="2035969"/>
                  <a:ext cx="1373190"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Total Units sold</a:t>
                  </a:r>
                  <a:r>
                    <a:rPr lang="en-US" sz="1400">
                      <a:effectLst/>
                    </a:rPr>
                    <a:t>        </a:t>
                  </a:r>
                  <a:r>
                    <a:rPr lang="en-US" sz="1400" baseline="0">
                      <a:effectLst/>
                    </a:rPr>
                    <a:t>                      </a:t>
                  </a:r>
                  <a:r>
                    <a:rPr lang="en-US" sz="1400" b="1" i="0" u="none" strike="noStrike" baseline="0">
                      <a:solidFill>
                        <a:schemeClr val="dk1"/>
                      </a:solidFill>
                      <a:effectLst/>
                      <a:latin typeface="+mn-lt"/>
                      <a:ea typeface="+mn-ea"/>
                      <a:cs typeface="+mn-cs"/>
                    </a:rPr>
                    <a:t>2</a:t>
                  </a:r>
                  <a:r>
                    <a:rPr lang="en-US" sz="1400" b="1" i="0" u="none" strike="noStrike">
                      <a:solidFill>
                        <a:schemeClr val="dk1"/>
                      </a:solidFill>
                      <a:effectLst/>
                      <a:latin typeface="+mn-lt"/>
                      <a:ea typeface="+mn-ea"/>
                      <a:cs typeface="+mn-cs"/>
                    </a:rPr>
                    <a:t>5828</a:t>
                  </a:r>
                  <a:r>
                    <a:rPr lang="en-US" sz="1400">
                      <a:effectLst/>
                    </a:rPr>
                    <a:t> </a:t>
                  </a:r>
                  <a:endParaRPr lang="en-US" sz="1400" b="1"/>
                </a:p>
              </xdr:txBody>
            </xdr:sp>
          </xdr:grpSp>
          <xdr:grpSp>
            <xdr:nvGrpSpPr>
              <xdr:cNvPr id="25" name="Group 24">
                <a:extLst>
                  <a:ext uri="{FF2B5EF4-FFF2-40B4-BE49-F238E27FC236}">
                    <a16:creationId xmlns:a16="http://schemas.microsoft.com/office/drawing/2014/main" id="{2DC7A634-52AF-ED3D-ACA6-ADE786AB2E4F}"/>
                  </a:ext>
                </a:extLst>
              </xdr:cNvPr>
              <xdr:cNvGrpSpPr/>
            </xdr:nvGrpSpPr>
            <xdr:grpSpPr>
              <a:xfrm>
                <a:off x="5865018" y="709621"/>
                <a:ext cx="1809752" cy="845341"/>
                <a:chOff x="11100016" y="1973734"/>
                <a:chExt cx="1822320" cy="788292"/>
              </a:xfrm>
            </xdr:grpSpPr>
            <xdr:sp macro="" textlink="">
              <xdr:nvSpPr>
                <xdr:cNvPr id="26" name="Rectangle 25">
                  <a:extLst>
                    <a:ext uri="{FF2B5EF4-FFF2-40B4-BE49-F238E27FC236}">
                      <a16:creationId xmlns:a16="http://schemas.microsoft.com/office/drawing/2014/main" id="{E60C6974-5B2B-2C91-1139-230A1F0DC1EA}"/>
                    </a:ext>
                  </a:extLst>
                </xdr:cNvPr>
                <xdr:cNvSpPr/>
              </xdr:nvSpPr>
              <xdr:spPr>
                <a:xfrm>
                  <a:off x="11100016" y="1973734"/>
                  <a:ext cx="1822320" cy="788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294E3566-5927-A043-FCCF-5E246FB5EBE3}"/>
                    </a:ext>
                  </a:extLst>
                </xdr:cNvPr>
                <xdr:cNvSpPr txBox="1"/>
              </xdr:nvSpPr>
              <xdr:spPr>
                <a:xfrm>
                  <a:off x="11191874" y="2035969"/>
                  <a:ext cx="1631157"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Total Unit Price</a:t>
                  </a:r>
                  <a:r>
                    <a:rPr lang="en-US" sz="1400" b="1">
                      <a:effectLst/>
                    </a:rPr>
                    <a:t> </a:t>
                  </a:r>
                  <a:r>
                    <a:rPr lang="en-US" sz="1400" b="1" i="0" u="none" strike="noStrike">
                      <a:solidFill>
                        <a:schemeClr val="dk1"/>
                      </a:solidFill>
                      <a:effectLst/>
                      <a:latin typeface="+mn-lt"/>
                      <a:ea typeface="+mn-ea"/>
                      <a:cs typeface="+mn-cs"/>
                    </a:rPr>
                    <a:t> </a:t>
                  </a:r>
                </a:p>
                <a:p>
                  <a:r>
                    <a:rPr lang="en-US" sz="1100" b="0" i="0" u="none" strike="noStrike">
                      <a:solidFill>
                        <a:schemeClr val="dk1"/>
                      </a:solidFill>
                      <a:effectLst/>
                      <a:latin typeface="+mn-lt"/>
                      <a:ea typeface="+mn-ea"/>
                      <a:cs typeface="+mn-cs"/>
                    </a:rPr>
                    <a:t>    </a:t>
                  </a:r>
                  <a:r>
                    <a:rPr lang="en-US" sz="1400" b="0" i="0" u="none" strike="noStrike">
                      <a:solidFill>
                        <a:schemeClr val="dk1"/>
                      </a:solidFill>
                      <a:effectLst/>
                      <a:latin typeface="+mn-lt"/>
                      <a:ea typeface="+mn-ea"/>
                      <a:cs typeface="+mn-cs"/>
                    </a:rPr>
                    <a:t>₦85,639,981.98 </a:t>
                  </a:r>
                </a:p>
                <a:p>
                  <a:r>
                    <a:rPr lang="en-US" sz="1100" b="0" i="0" u="none" strike="noStrike" baseline="0">
                      <a:solidFill>
                        <a:schemeClr val="dk1"/>
                      </a:solidFill>
                      <a:effectLst/>
                      <a:latin typeface="+mn-lt"/>
                      <a:ea typeface="+mn-ea"/>
                      <a:cs typeface="+mn-cs"/>
                    </a:rPr>
                    <a:t> </a:t>
                  </a:r>
                  <a:r>
                    <a:rPr lang="en-US" sz="1400" b="0" i="0" u="none" strike="noStrike">
                      <a:solidFill>
                        <a:schemeClr val="dk1"/>
                      </a:solidFill>
                      <a:effectLst/>
                      <a:latin typeface="+mn-lt"/>
                      <a:ea typeface="+mn-ea"/>
                      <a:cs typeface="+mn-cs"/>
                    </a:rPr>
                    <a:t> </a:t>
                  </a:r>
                  <a:endParaRPr lang="en-US" sz="1400" b="1"/>
                </a:p>
              </xdr:txBody>
            </xdr:sp>
          </xdr:grpSp>
          <xdr:grpSp>
            <xdr:nvGrpSpPr>
              <xdr:cNvPr id="28" name="Group 27">
                <a:extLst>
                  <a:ext uri="{FF2B5EF4-FFF2-40B4-BE49-F238E27FC236}">
                    <a16:creationId xmlns:a16="http://schemas.microsoft.com/office/drawing/2014/main" id="{E9627CD4-2E4B-EE33-51F9-0AACDDFDE77B}"/>
                  </a:ext>
                </a:extLst>
              </xdr:cNvPr>
              <xdr:cNvGrpSpPr/>
            </xdr:nvGrpSpPr>
            <xdr:grpSpPr>
              <a:xfrm>
                <a:off x="7779544" y="719148"/>
                <a:ext cx="1809752" cy="845341"/>
                <a:chOff x="11100016" y="1973734"/>
                <a:chExt cx="1822320" cy="788292"/>
              </a:xfrm>
            </xdr:grpSpPr>
            <xdr:sp macro="" textlink="">
              <xdr:nvSpPr>
                <xdr:cNvPr id="29" name="Rectangle 28">
                  <a:extLst>
                    <a:ext uri="{FF2B5EF4-FFF2-40B4-BE49-F238E27FC236}">
                      <a16:creationId xmlns:a16="http://schemas.microsoft.com/office/drawing/2014/main" id="{4119B656-F53E-4DE7-3E2A-1920D3FAD075}"/>
                    </a:ext>
                  </a:extLst>
                </xdr:cNvPr>
                <xdr:cNvSpPr/>
              </xdr:nvSpPr>
              <xdr:spPr>
                <a:xfrm>
                  <a:off x="11100016" y="1973734"/>
                  <a:ext cx="1822320" cy="788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D4494292-3314-3C91-AD0B-562D1D195DE9}"/>
                    </a:ext>
                  </a:extLst>
                </xdr:cNvPr>
                <xdr:cNvSpPr txBox="1"/>
              </xdr:nvSpPr>
              <xdr:spPr>
                <a:xfrm>
                  <a:off x="11191874" y="2035969"/>
                  <a:ext cx="1631157" cy="654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Total</a:t>
                  </a:r>
                  <a:r>
                    <a:rPr lang="en-US" sz="1400" b="1" i="0" u="none" strike="noStrike" baseline="0">
                      <a:solidFill>
                        <a:schemeClr val="dk1"/>
                      </a:solidFill>
                      <a:effectLst/>
                      <a:latin typeface="+mn-lt"/>
                      <a:ea typeface="+mn-ea"/>
                      <a:cs typeface="+mn-cs"/>
                    </a:rPr>
                    <a:t> Customers</a:t>
                  </a:r>
                  <a:r>
                    <a:rPr lang="en-US" sz="1400" b="1" i="0" u="none" strike="noStrike">
                      <a:solidFill>
                        <a:schemeClr val="dk1"/>
                      </a:solidFill>
                      <a:effectLst/>
                      <a:latin typeface="+mn-lt"/>
                      <a:ea typeface="+mn-ea"/>
                      <a:cs typeface="+mn-cs"/>
                    </a:rPr>
                    <a:t>   </a:t>
                  </a:r>
                  <a:endParaRPr lang="en-US" sz="1400" b="0" i="0" u="none" strike="noStrike">
                    <a:solidFill>
                      <a:schemeClr val="dk1"/>
                    </a:solidFill>
                    <a:effectLst/>
                    <a:latin typeface="+mn-lt"/>
                    <a:ea typeface="+mn-ea"/>
                    <a:cs typeface="+mn-cs"/>
                  </a:endParaRPr>
                </a:p>
                <a:p>
                  <a:r>
                    <a:rPr lang="en-US" sz="14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550</a:t>
                  </a:r>
                  <a:r>
                    <a:rPr lang="en-US" sz="1400">
                      <a:effectLst/>
                    </a:rPr>
                    <a:t> </a:t>
                  </a:r>
                  <a:endParaRPr lang="en-US" sz="1400" b="1"/>
                </a:p>
              </xdr:txBody>
            </xdr:sp>
          </xdr:grpSp>
        </xdr:grpSp>
        <mc:AlternateContent xmlns:mc="http://schemas.openxmlformats.org/markup-compatibility/2006">
          <mc:Choice xmlns:a14="http://schemas.microsoft.com/office/drawing/2010/main" Requires="a14">
            <xdr:graphicFrame macro="">
              <xdr:nvGraphicFramePr>
                <xdr:cNvPr id="32" name="Year">
                  <a:extLst>
                    <a:ext uri="{FF2B5EF4-FFF2-40B4-BE49-F238E27FC236}">
                      <a16:creationId xmlns:a16="http://schemas.microsoft.com/office/drawing/2014/main" id="{8A31E6AB-A8F7-77BE-8B1C-876416150FBF}"/>
                    </a:ext>
                  </a:extLst>
                </xdr:cNvPr>
                <xdr:cNvGraphicFramePr/>
              </xdr:nvGraphicFramePr>
              <xdr:xfrm>
                <a:off x="1700893" y="345622"/>
                <a:ext cx="993321" cy="987878"/>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72060" y="936819"/>
                  <a:ext cx="1374478" cy="1210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3" name="Month">
                  <a:extLst>
                    <a:ext uri="{FF2B5EF4-FFF2-40B4-BE49-F238E27FC236}">
                      <a16:creationId xmlns:a16="http://schemas.microsoft.com/office/drawing/2014/main" id="{ECC5A3E6-38D9-9393-35A4-10E25B795D86}"/>
                    </a:ext>
                  </a:extLst>
                </xdr:cNvPr>
                <xdr:cNvGraphicFramePr/>
              </xdr:nvGraphicFramePr>
              <xdr:xfrm>
                <a:off x="1698170" y="1325335"/>
                <a:ext cx="968829" cy="3409951"/>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68292" y="2136985"/>
                  <a:ext cx="1340588" cy="4177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5" name="Sales Channel">
                  <a:extLst>
                    <a:ext uri="{FF2B5EF4-FFF2-40B4-BE49-F238E27FC236}">
                      <a16:creationId xmlns:a16="http://schemas.microsoft.com/office/drawing/2014/main" id="{C331133A-8195-2897-AD13-5236534E2265}"/>
                    </a:ext>
                  </a:extLst>
                </xdr:cNvPr>
                <xdr:cNvGraphicFramePr/>
              </xdr:nvGraphicFramePr>
              <xdr:xfrm>
                <a:off x="1687285" y="4767944"/>
                <a:ext cx="952500" cy="1436914"/>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653230" y="6354244"/>
                  <a:ext cx="1317993" cy="1760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 Tergunwa" refreshedDate="45947.516480439815" createdVersion="8" refreshedVersion="8" minRefreshableVersion="3" recordCount="550" xr:uid="{90D6382A-5EB7-4AC9-998F-4BDE9C97B4D6}">
  <cacheSource type="worksheet">
    <worksheetSource name="Table13_1"/>
  </cacheSource>
  <cacheFields count="12">
    <cacheField name="Customer Name" numFmtId="0">
      <sharedItems count="508">
        <s v="Aaron Miller"/>
        <s v="Aaron Wise"/>
        <s v="Abigail Shaffer"/>
        <s v="Adam Burgess"/>
        <s v="Adam Vaughan"/>
        <s v="Aimee Montoya"/>
        <s v="Aimee Turner"/>
        <s v="Alex Hernandez"/>
        <s v="Alexander Brown"/>
        <s v="Alexander Collins"/>
        <s v="Alfred Galvan"/>
        <s v="Allen Rosales"/>
        <s v="Allison Hickman"/>
        <s v="Allison Hill"/>
        <s v="Allison Smith"/>
        <s v="Alyssa Day"/>
        <s v="Alyssa Long"/>
        <s v="Amanda Jones"/>
        <s v="Amber Kidd"/>
        <s v="Amber Obrien"/>
        <s v="Amber Wright"/>
        <s v="Amy Silva"/>
        <s v="Ana Hill"/>
        <s v="Andrea Hubbard"/>
        <s v="Andrew Avila"/>
        <s v="Andrew Reynolds"/>
        <s v="Angel Perry"/>
        <s v="Angela Lin"/>
        <s v="Angela Lopez"/>
        <s v="Angela Vaughn"/>
        <s v="Angelica Keith"/>
        <s v="Angelica Tucker"/>
        <s v="Angie Henderson"/>
        <s v="Anna Henderson"/>
        <s v="Anthony Everett"/>
        <s v="Anthony Harmon"/>
        <s v="Anthony Humphrey"/>
        <s v="Anthony Moore"/>
        <s v="Anthony Rodriguez"/>
        <s v="Anthony Romero"/>
        <s v="Antonio Garcia"/>
        <s v="April Frost"/>
        <s v="Ariana Jennings"/>
        <s v="Ashley Barton"/>
        <s v="Ashley Hall"/>
        <s v="Ashley Hicks"/>
        <s v="Ashley Waller"/>
        <s v="Ashley Wise"/>
        <s v="Austin Osborne"/>
        <s v="Bailey Duran Dds"/>
        <s v="Barbara Dudley"/>
        <s v="Benjamin Smith"/>
        <s v="Bobby Guerrero"/>
        <s v="Brandon Bailey Md"/>
        <s v="Brandon Fleming"/>
        <s v="Brandy Chavez"/>
        <s v="Brenda Hall"/>
        <s v="Brenda Thornton"/>
        <s v="Brenda Wright"/>
        <s v="Brent Jordan"/>
        <s v="Brett Burns"/>
        <s v="Brian Fitzgerald"/>
        <s v="Brian Lee"/>
        <s v="Brian Ramirez"/>
        <s v="Brian Rodriguez"/>
        <s v="Brian Smith"/>
        <s v="Briana Murray"/>
        <s v="Brittany Farmer"/>
        <s v="Brittany Kim"/>
        <s v="Brittney Phillips"/>
        <s v="Bryan Gomez"/>
        <s v="Bryan Herrera"/>
        <s v="Cameron Fisher"/>
        <s v="Cameron Parker"/>
        <s v="Carla Gray"/>
        <s v="Carlos Ryan"/>
        <s v="Carol Tucker"/>
        <s v="Carolyn Miller"/>
        <s v="Carrie Wright"/>
        <s v="Cassandra Gaines"/>
        <s v="Cathy Robinson"/>
        <s v="Chad Jones"/>
        <s v="Chad Scott"/>
        <s v="Charles Lester"/>
        <s v="Charles Schultz"/>
        <s v="Charles Shah"/>
        <s v="Cheyenne Horton"/>
        <s v="Christian Leblanc"/>
        <s v="Christina Walters"/>
        <s v="Christine Wright"/>
        <s v="Christopher Bass"/>
        <s v="Christopher Guerra"/>
        <s v="Christopher Parker"/>
        <s v="Christopher Rubio"/>
        <s v="Christopher Smith"/>
        <s v="Colin Terry"/>
        <s v="Colton Martinez"/>
        <s v="Connie Brown"/>
        <s v="Connie Lawrence"/>
        <s v="Connor West"/>
        <s v="Courtney Gonzalez"/>
        <s v="Courtney Hayes"/>
        <s v="Courtney Mills"/>
        <s v="Courtney Rodriguez"/>
        <s v="Craig Morrison"/>
        <s v="Cristian Santos"/>
        <s v="Crystal Johnson"/>
        <s v="Crystal Robinson"/>
        <s v="Curtis Williams"/>
        <s v="Cynthia Moore"/>
        <s v="Cynthia Morris"/>
        <s v="Cynthia Rowe"/>
        <s v="Cynthia Vang"/>
        <s v="Dana Chapman"/>
        <s v="Dana Martinez"/>
        <s v="Daniel Baker"/>
        <s v="Daniel Kane"/>
        <s v="Daniel Kennedy"/>
        <s v="Daniel Murphy"/>
        <s v="Daniel Salinas"/>
        <s v="Daniel Wagner"/>
        <s v="Danny Morgan"/>
        <s v="Darlene Miller"/>
        <s v="David Alvarez"/>
        <s v="David Davis"/>
        <s v="David Douglas Jr."/>
        <s v="David Martinez"/>
        <s v="David Smith"/>
        <s v="David Thompson"/>
        <s v="David Wright"/>
        <s v="Dawn Mullins"/>
        <s v="Dawn Summers"/>
        <s v="Deborah Figueroa"/>
        <s v="Debra Christian"/>
        <s v="Debra Davidson"/>
        <s v="Debra Morton"/>
        <s v="Debra White"/>
        <s v="Denise Davenport"/>
        <s v="Denise Jacobs"/>
        <s v="Denise Jones"/>
        <s v="Denise Mccann"/>
        <s v="Derek Zuniga"/>
        <s v="Desiree Tyler"/>
        <s v="Devon Flores"/>
        <s v="Diana May"/>
        <s v="Diane Evans"/>
        <s v="Donald Wright"/>
        <s v="Donna Landry"/>
        <s v="Douglas Gregory"/>
        <s v="Dr. Hannah Patterson"/>
        <s v="Dr. Paul Morgan"/>
        <s v="Dr. William Warren"/>
        <s v="Dustin Gallegos"/>
        <s v="Dustin Jordan"/>
        <s v="Dylan Miller"/>
        <s v="Edward Burgess"/>
        <s v="Elaine Brooks"/>
        <s v="Elizabeth Fowler"/>
        <s v="Elizabeth Kelley"/>
        <s v="Elizabeth Oliver Dds"/>
        <s v="Elizabeth Perkins"/>
        <s v="Ellen Morgan"/>
        <s v="Emily Bennett"/>
        <s v="Eric Carney"/>
        <s v="Eric Williams"/>
        <s v="Erica Alvarez"/>
        <s v="Erin Edwards"/>
        <s v="Erin Warner"/>
        <s v="Ethan Adams"/>
        <s v="Evelyn Galvan"/>
        <s v="Evelyn Martinez"/>
        <s v="Evelyn Williams"/>
        <s v="Felicia Aguilar"/>
        <s v="Frank Cordova"/>
        <s v="Fred Smith"/>
        <s v="Gabrielle Davis"/>
        <s v="Garrett Lin"/>
        <s v="Gary Jackson"/>
        <s v="George Harper"/>
        <s v="Gerald Hensley"/>
        <s v="Gina Moore"/>
        <s v="Glen Wood"/>
        <s v="Gregory Ponce"/>
        <s v="Gwendolyn Klein"/>
        <s v="Hannah Luna"/>
        <s v="Heather Bolton"/>
        <s v="Heather Fields"/>
        <s v="Heather Williams"/>
        <s v="Helen Jones"/>
        <s v="Holly Farmer"/>
        <s v="Holly Valentine"/>
        <s v="Holly Wood"/>
        <s v="Howard Norman"/>
        <s v="Isaiah Avila"/>
        <s v="Jack White"/>
        <s v="Jake Campbell"/>
        <s v="James Bradley"/>
        <s v="James Brown"/>
        <s v="James Ferrell"/>
        <s v="James Padilla"/>
        <s v="James Parks"/>
        <s v="Jamie Arnold"/>
        <s v="Jamie Smith"/>
        <s v="Jamie Walton"/>
        <s v="Jasmin Alvarado"/>
        <s v="Jasmine Beltran"/>
        <s v="Jason Beck"/>
        <s v="Jason Powell"/>
        <s v="Jason Rhodes"/>
        <s v="Jason Stein"/>
        <s v="Jeanette Harrison"/>
        <s v="Jeffery Ortega"/>
        <s v="Jeffrey Chandler"/>
        <s v="Jeffrey Chavez"/>
        <s v="Jeffrey Johnson"/>
        <s v="Jeffrey Mendez"/>
        <s v="Jeffrey Mills"/>
        <s v="Jenna Larson"/>
        <s v="Jennifer Adkins"/>
        <s v="Jennifer Banks"/>
        <s v="Jennifer Collins"/>
        <s v="Jeremy Dalton"/>
        <s v="Jeremy Mitchell"/>
        <s v="Jeremy Reed"/>
        <s v="Jeremy Sampson"/>
        <s v="Jeremy Turner"/>
        <s v="Jesse Brown"/>
        <s v="Jesse Perez"/>
        <s v="Jesse Perry"/>
        <s v="Jessica Callahan"/>
        <s v="Jessica Garcia"/>
        <s v="Jessica Gross"/>
        <s v="Jessica Holmes"/>
        <s v="Jessica Smith"/>
        <s v="Jessica Stephens"/>
        <s v="Joann Ferguson"/>
        <s v="Joann Glass"/>
        <s v="Joanna Pacheco"/>
        <s v="Jodi Roach"/>
        <s v="Joel Williams"/>
        <s v="John Anderson"/>
        <s v="John Bishop"/>
        <s v="John Daniel"/>
        <s v="John Pierce"/>
        <s v="John Whitehead"/>
        <s v="John Young"/>
        <s v="Johnathan Davis"/>
        <s v="Jonathan Glass Md"/>
        <s v="Jonathan Lawrence"/>
        <s v="Jonathan Peterson"/>
        <s v="Jordan Bates"/>
        <s v="Jordan Chambers"/>
        <s v="Jordan Henderson"/>
        <s v="Jose Allen"/>
        <s v="Jose Schultz"/>
        <s v="Jose Travis"/>
        <s v="Joseph Coleman"/>
        <s v="Joseph Knight"/>
        <s v="Joshua Blair"/>
        <s v="Joshua Cooke"/>
        <s v="Joshua Perry"/>
        <s v="Joshua Reed"/>
        <s v="Joyce Bowen"/>
        <s v="Joyce Solis"/>
        <s v="Judith Carter"/>
        <s v="Judy Baker"/>
        <s v="Julia Torres"/>
        <s v="Julian Conner"/>
        <s v="Julie Alexander"/>
        <s v="Julie Dominguez"/>
        <s v="Justin Baker"/>
        <s v="Justin Torres"/>
        <s v="Karen Graham"/>
        <s v="Karla Ramos"/>
        <s v="Katherine Martinez"/>
        <s v="Katherine Salas"/>
        <s v="Kathleen Moran"/>
        <s v="Kathleen Webster"/>
        <s v="Kathryn Snyder"/>
        <s v="Kathy Rivas"/>
        <s v="Katie Mcneil"/>
        <s v="Katie Suarez"/>
        <s v="Kayla Rodriguez"/>
        <s v="Kaylee Hays"/>
        <s v="Keith Jennings"/>
        <s v="Kelly Donovan"/>
        <s v="Kelsey Rodriguez"/>
        <s v="Kenneth Lewis"/>
        <s v="Kenneth Scott"/>
        <s v="Kerry Chavez Dds"/>
        <s v="Kevin Oconnor"/>
        <s v="Kevin Walters"/>
        <s v="Kiara Mcintyre"/>
        <s v="Kimberly Gibson"/>
        <s v="Kimberly Gutierrez"/>
        <s v="Kimberly Nguyen"/>
        <s v="Kirk Carter"/>
        <s v="Krista Gibson"/>
        <s v="Kristen Davis"/>
        <s v="Lance Simmons"/>
        <s v="Larry Dixon"/>
        <s v="Laura Haney"/>
        <s v="Laura Mckinney"/>
        <s v="Laura Roberts"/>
        <s v="Lauren Carson"/>
        <s v="Lauren Daniels"/>
        <s v="Laurie Hoffman"/>
        <s v="Lawrence Adkins"/>
        <s v="Lawrence Harrington"/>
        <s v="Linda Smith"/>
        <s v="Lindsay Martinez"/>
        <s v="Lindsey Walker"/>
        <s v="Lisa Allen"/>
        <s v="Lisa Archer"/>
        <s v="Lisa Barnes"/>
        <s v="Lisa Hensley"/>
        <s v="Lisa Hunter"/>
        <s v="Lisa Jackson"/>
        <s v="Lori Guerrero"/>
        <s v="Lori Hernandez"/>
        <s v="Lori Ingram"/>
        <s v="Madison Poole"/>
        <s v="Madison Weber"/>
        <s v="Marc Moore"/>
        <s v="Margaret Coleman"/>
        <s v="Margaret Hawkins Dds"/>
        <s v="Maria Henderson"/>
        <s v="Maria Jones"/>
        <s v="Maria Parker"/>
        <s v="Marie Christian"/>
        <s v="Marie Moody"/>
        <s v="Mark Brown"/>
        <s v="Mark Cox"/>
        <s v="Mark Perez"/>
        <s v="Mary Escobar"/>
        <s v="Mary Marshall"/>
        <s v="Mary Thompson"/>
        <s v="Matthew Foster"/>
        <s v="Matthew Harrington"/>
        <s v="Matthew Mcmillan"/>
        <s v="Matthew Moon"/>
        <s v="Matthew Moore"/>
        <s v="Megan Le"/>
        <s v="Megan Nelson"/>
        <s v="Megan Orr"/>
        <s v="Megan Young"/>
        <s v="Meghan Cisneros"/>
        <s v="Meghan Rush"/>
        <s v="Melissa Brewer"/>
        <s v="Melissa Gates"/>
        <s v="Melissa Martinez"/>
        <s v="Michael Bradshaw"/>
        <s v="Michael Elliott"/>
        <s v="Michael Evans"/>
        <s v="Michael Farrell"/>
        <s v="Michael Lewis"/>
        <s v="Michael Lyons"/>
        <s v="Michael Mitchell"/>
        <s v="Michael Powell"/>
        <s v="Michael Wang"/>
        <s v="Michael Warner"/>
        <s v="Michele Williams"/>
        <s v="Michelle Brown"/>
        <s v="Michelle Evans"/>
        <s v="Michelle Harmon"/>
        <s v="Mike Allen"/>
        <s v="Monica Herrera"/>
        <s v="Monica Miller"/>
        <s v="Mr. Andrew Foster"/>
        <s v="Mr. Justin Green Iii"/>
        <s v="Mrs. Diane Reyes"/>
        <s v="Mrs. Kristen Reyes"/>
        <s v="Nancy Jennings"/>
        <s v="Natalie Bautista"/>
        <s v="Nathan Freeman"/>
        <s v="Nathan Maldonado"/>
        <s v="Nathan Malone"/>
        <s v="Nichole Alvarez"/>
        <s v="Nicole Herring"/>
        <s v="Nicole Parrish"/>
        <s v="Unknown"/>
        <s v="Noah Rhodes"/>
        <s v="Olivia Harris"/>
        <s v="Pamela Boyd"/>
        <s v="Parker Cain"/>
        <s v="Patricia Le"/>
        <s v="Patricia Rodriguez"/>
        <s v="Patrick Moore"/>
        <s v="Patrick Thornton"/>
        <s v="Patty Perez"/>
        <s v="Paul Castaneda"/>
        <s v="Paul Jones"/>
        <s v="Paul Lewis"/>
        <s v="Paul Wilson"/>
        <s v="Paula Bradley"/>
        <s v="Paula Moreno"/>
        <s v="Philip Cannon"/>
        <s v="Phillip Berry"/>
        <s v="Phillip Nelson"/>
        <s v="Ralph Anderson"/>
        <s v="Rebecca Henderson"/>
        <s v="Rebecca Jackson"/>
        <s v="Rebecca Valencia"/>
        <s v="Renee Bruce"/>
        <s v="Rhonda Martin"/>
        <s v="Richard Aguirre"/>
        <s v="Richard Cooper"/>
        <s v="Richard Henson"/>
        <s v="Richard Rodriguez"/>
        <s v="Richard Smith"/>
        <s v="Ricky Davis Ii"/>
        <s v="Riley Bryant"/>
        <s v="Robert Harrison"/>
        <s v="Robert Montgomery"/>
        <s v="Robert Oconnell"/>
        <s v="Robert Potter"/>
        <s v="Robin Brown"/>
        <s v="Robin Santiago"/>
        <s v="Robin Thompson"/>
        <s v="Robin Young"/>
        <s v="Rodney Morales"/>
        <s v="Ronald Davis"/>
        <s v="Ruben Dunn"/>
        <s v="Ryan Gonzalez"/>
        <s v="Ryan Munoz"/>
        <s v="Ryan Rosales"/>
        <s v="Sabrina Austin"/>
        <s v="Samantha Garcia"/>
        <s v="Samantha Gardner"/>
        <s v="Sandra Aguilar"/>
        <s v="Sandra Drake"/>
        <s v="Sara Fuller"/>
        <s v="Sara Johnston"/>
        <s v="Sarah Moore"/>
        <s v="Scott Thomas"/>
        <s v="Scott Williams"/>
        <s v="Sergio Knight"/>
        <s v="Shane Henderson"/>
        <s v="Shannon James"/>
        <s v="Shannon Jones"/>
        <s v="Shannon Ramsey"/>
        <s v="Shannon Rivera"/>
        <s v="Shannon Walker"/>
        <s v="Sharon Boyd"/>
        <s v="Sharon Cherry"/>
        <s v="Sharon Cochran"/>
        <s v="Shelia Wallace"/>
        <s v="Shelly Alexander"/>
        <s v="Shelly Spencer"/>
        <s v="Sherri Baker"/>
        <s v="Sherry Decker"/>
        <s v="Shirley Suarez"/>
        <s v="Sierra Johnson"/>
        <s v="Sophia Johnson"/>
        <s v="Spencer Haynes"/>
        <s v="Stephanie Byrd"/>
        <s v="Stephanie Manning"/>
        <s v="Stephanie Ross"/>
        <s v="Stephanie Salazar"/>
        <s v="Stephanie Williams"/>
        <s v="Stephen Hoffman"/>
        <s v="Stephen Mckee"/>
        <s v="Steve Paul"/>
        <s v="Steve Sanchez"/>
        <s v="Susan Murray Md"/>
        <s v="Susan Serrano"/>
        <s v="Susan Turner"/>
        <s v="Tamara Davis"/>
        <s v="Tammie Bright"/>
        <s v="Tanner Mitchell Dds"/>
        <s v="Tanya Kim"/>
        <s v="Taylor Carlson"/>
        <s v="Theodore Jones Jr."/>
        <s v="Theresa Clark"/>
        <s v="Theresa Williams"/>
        <s v="Thomas Atkins"/>
        <s v="Timothy Duncan"/>
        <s v="Timothy Romero"/>
        <s v="Tina Sanders"/>
        <s v="Tommy Walter"/>
        <s v="Tracy Ballard"/>
        <s v="Tracy Burke"/>
        <s v="Tracy House"/>
        <s v="Tracy Montoya"/>
        <s v="Travis Tucker"/>
        <s v="Trevor Johnson"/>
        <s v="Tricia Valencia"/>
        <s v="Vanessa Howard"/>
        <s v="Veronica King"/>
        <s v="Veronica Simpson"/>
        <s v="Victor Baker"/>
        <s v="Victor Brown"/>
        <s v="Victor Taylor"/>
        <s v="Victoria Garcia"/>
        <s v="Victoria Larson"/>
        <s v="Wayne Morgan"/>
        <s v="Whitney Peters"/>
        <s v="William Baker"/>
        <s v="William Barrett"/>
        <s v="William Gould"/>
        <s v="William Herrera"/>
        <s v="William Jones"/>
        <s v="Yvonne Burns"/>
        <s v="Yvonne Chambers"/>
        <s v="Zachary Ferrell"/>
        <s v="Zachary Hicks"/>
        <s v="Zachary Mitchell"/>
        <s v="No Name" u="1"/>
      </sharedItems>
    </cacheField>
    <cacheField name="Customer_Status" numFmtId="0">
      <sharedItems count="2">
        <s v="Identified"/>
        <s v="Unidentified"/>
      </sharedItems>
    </cacheField>
    <cacheField name="State" numFmtId="0">
      <sharedItems count="20">
        <s v="Enugu"/>
        <s v="Niger"/>
        <s v="Imo"/>
        <s v="Osun"/>
        <s v="Plateau"/>
        <s v="Oyo"/>
        <s v="Delta"/>
        <s v="Katsina"/>
        <s v="Lagos"/>
        <s v="Kano"/>
        <s v="Rivers"/>
        <s v="Kaduna"/>
        <s v="Cross River"/>
        <s v="Abuja"/>
        <s v="Anambra"/>
        <s v="Benue"/>
        <s v="Borno"/>
        <s v="Ekiti"/>
        <s v="Sokoto"/>
        <s v="Bauchi"/>
      </sharedItems>
    </cacheField>
    <cacheField name="Product" numFmtId="0">
      <sharedItems count="8">
        <s v="Keyboard"/>
        <s v="Camera"/>
        <s v="Headphones"/>
        <s v="Laptop"/>
        <s v="Tablet"/>
        <s v="Monitor"/>
        <s v="Charger"/>
        <s v="Phone"/>
      </sharedItems>
    </cacheField>
    <cacheField name="Units Sold" numFmtId="0">
      <sharedItems containsSemiMixedTypes="0" containsString="0" containsNumber="1" containsInteger="1" minValue="1" maxValue="100" count="75">
        <n v="47"/>
        <n v="16"/>
        <n v="57"/>
        <n v="78"/>
        <n v="92"/>
        <n v="10"/>
        <n v="61"/>
        <n v="55"/>
        <n v="21"/>
        <n v="74"/>
        <n v="93"/>
        <n v="96"/>
        <n v="45"/>
        <n v="6"/>
        <n v="37"/>
        <n v="18"/>
        <n v="29"/>
        <n v="24"/>
        <n v="62"/>
        <n v="26"/>
        <n v="28"/>
        <n v="91"/>
        <n v="8"/>
        <n v="4"/>
        <n v="71"/>
        <n v="20"/>
        <n v="63"/>
        <n v="56"/>
        <n v="33"/>
        <n v="36"/>
        <n v="46"/>
        <n v="44"/>
        <n v="65"/>
        <n v="35"/>
        <n v="77"/>
        <n v="98"/>
        <n v="7"/>
        <n v="3"/>
        <n v="67"/>
        <n v="54"/>
        <n v="82"/>
        <n v="43"/>
        <n v="69"/>
        <n v="79"/>
        <n v="31"/>
        <n v="59"/>
        <n v="9"/>
        <n v="48"/>
        <n v="83"/>
        <n v="41"/>
        <n v="17"/>
        <n v="66"/>
        <n v="58"/>
        <n v="87"/>
        <n v="27"/>
        <n v="39"/>
        <n v="19"/>
        <n v="51"/>
        <n v="42"/>
        <n v="40"/>
        <n v="100"/>
        <n v="1"/>
        <n v="49"/>
        <n v="14"/>
        <n v="68"/>
        <n v="72"/>
        <n v="32"/>
        <n v="97"/>
        <n v="11"/>
        <n v="52"/>
        <n v="50"/>
        <n v="23"/>
        <n v="25"/>
        <n v="12"/>
        <n v="94"/>
      </sharedItems>
    </cacheField>
    <cacheField name="Unit Price" numFmtId="0">
      <sharedItems containsSemiMixedTypes="0" containsString="0" containsNumber="1" minValue="1403.13" maxValue="299437.8" count="499">
        <n v="195143.39"/>
        <n v="81850.63"/>
        <n v="252859.28"/>
        <n v="5357.86"/>
        <n v="112400.64"/>
        <n v="277240.88"/>
        <n v="259293.41"/>
        <n v="155709.06"/>
        <n v="155584.85"/>
        <n v="71272.62"/>
        <n v="209322.28"/>
        <n v="143715.48000000001"/>
        <n v="96823.7"/>
        <n v="267992.94"/>
        <n v="24181.59"/>
        <n v="120549.56"/>
        <n v="10149.09"/>
        <n v="287222.55"/>
        <n v="298048.28999999998"/>
        <n v="192573.07"/>
        <n v="144201.13"/>
        <n v="124096.91"/>
        <n v="162578.47"/>
        <n v="65761.440000000002"/>
        <n v="11721.12"/>
        <n v="297101.90000000002"/>
        <n v="280378.37"/>
        <n v="139885.79999999999"/>
        <n v="183637.68"/>
        <n v="279444.94"/>
        <n v="81704.25"/>
        <n v="270915"/>
        <n v="135211.15"/>
        <n v="150794.94"/>
        <n v="144394.41"/>
        <n v="55622.31"/>
        <n v="195863.47"/>
        <n v="67990.69"/>
        <n v="48335.19"/>
        <n v="166977.26999999999"/>
        <n v="101600.5"/>
        <n v="226895.35999999999"/>
        <n v="216796.72"/>
        <n v="203271.97"/>
        <n v="132831.25"/>
        <n v="134836.87"/>
        <n v="133922.07"/>
        <n v="43685.37"/>
        <n v="295848.11"/>
        <n v="70027.13"/>
        <n v="194661.46"/>
        <n v="297506.57"/>
        <n v="76099.25"/>
        <n v="164108.82999999999"/>
        <n v="55571.75"/>
        <n v="237254.18"/>
        <n v="158687.85"/>
        <n v="33326.57"/>
        <n v="224327.88"/>
        <n v="59259.44"/>
        <n v="201771.08"/>
        <n v="132591.04999999999"/>
        <n v="287809.69"/>
        <n v="146956.42000000001"/>
        <n v="224190.33"/>
        <n v="178946.43"/>
        <n v="125656.55"/>
        <n v="269680.75"/>
        <n v="262939.37"/>
        <n v="89900.5"/>
        <n v="20653.63"/>
        <n v="15030.06"/>
        <n v="210306.01"/>
        <n v="236317.52"/>
        <n v="222505.09"/>
        <n v="116831.51"/>
        <n v="108213.56"/>
        <n v="114655.81"/>
        <n v="89868.47"/>
        <n v="272743.75"/>
        <n v="64589.05"/>
        <n v="68088.66"/>
        <n v="286616.46000000002"/>
        <n v="150913.70000000001"/>
        <n v="92796.78"/>
        <n v="100845.11"/>
        <n v="108854.57"/>
        <n v="43733.35"/>
        <n v="103652.24"/>
        <n v="185141.9"/>
        <n v="79676.47"/>
        <n v="87195.36"/>
        <n v="137969.82"/>
        <n v="204248.42"/>
        <n v="211278.69"/>
        <n v="217205.6"/>
        <n v="118189.9"/>
        <n v="196041.39"/>
        <n v="143772.10999999999"/>
        <n v="81692.97"/>
        <n v="275175.96999999997"/>
        <n v="226975.73"/>
        <n v="73340.759999999995"/>
        <n v="74096.14"/>
        <n v="17758.37"/>
        <n v="44369.599999999999"/>
        <n v="159232.54999999999"/>
        <n v="236494.21"/>
        <n v="143497.5"/>
        <n v="136766.10999999999"/>
        <n v="95899.74"/>
        <n v="299437.8"/>
        <n v="2545.62"/>
        <n v="22372.34"/>
        <n v="181033.5"/>
        <n v="204262.41"/>
        <n v="261727.62"/>
        <n v="99413.77"/>
        <n v="82214.710000000006"/>
        <n v="205486.41"/>
        <n v="156614.69"/>
        <n v="33213.360000000001"/>
        <n v="66644.350000000006"/>
        <n v="246587.56"/>
        <n v="191794.04"/>
        <n v="85276.23"/>
        <n v="99539.89"/>
        <n v="275214.78999999998"/>
        <n v="92649.51"/>
        <n v="258155.83"/>
        <n v="219470.21"/>
        <n v="142972.04"/>
        <n v="297857.61"/>
        <n v="145511.94"/>
        <n v="86483.67"/>
        <n v="61336.68"/>
        <n v="205979.05"/>
        <n v="124361.28"/>
        <n v="157889.24"/>
        <n v="24644.77"/>
        <n v="280209.82"/>
        <n v="99706.26"/>
        <n v="71452.759999999995"/>
        <n v="72579.56"/>
        <n v="57639.91"/>
        <n v="251362.66"/>
        <n v="215216.93"/>
        <n v="240697.5"/>
        <n v="194792.04"/>
        <n v="280204.15999999997"/>
        <n v="155845.62"/>
        <n v="22761.96"/>
        <n v="255174.76"/>
        <n v="228676.96"/>
        <n v="179274.43"/>
        <n v="41671.379999999997"/>
        <n v="163137.69"/>
        <n v="275786.09000000003"/>
        <n v="41060.949999999997"/>
        <n v="124181.55"/>
        <n v="152440.84"/>
        <n v="264253.90999999997"/>
        <n v="283067.63"/>
        <n v="20856.400000000001"/>
        <n v="241193.93"/>
        <n v="178320.53"/>
        <n v="140068.22"/>
        <n v="18604.810000000001"/>
        <n v="245489.78"/>
        <n v="229126.51"/>
        <n v="246360.27"/>
        <n v="173045.05"/>
        <n v="246296.88"/>
        <n v="221736.61"/>
        <n v="119291.3"/>
        <n v="125253.81"/>
        <n v="84471.72"/>
        <n v="218922.21"/>
        <n v="159897.64000000001"/>
        <n v="41678.71"/>
        <n v="162398.45000000001"/>
        <n v="282474.92"/>
        <n v="216494.26"/>
        <n v="12344.49"/>
        <n v="147209.07"/>
        <n v="202483.14"/>
        <n v="280779.7"/>
        <n v="139169.67000000001"/>
        <n v="54216.67"/>
        <n v="25264.49"/>
        <n v="276480.53000000003"/>
        <n v="129456.68"/>
        <n v="101465.1"/>
        <n v="293210.09999999998"/>
        <n v="91304.81"/>
        <n v="85981.89"/>
        <n v="73037.87"/>
        <n v="121944.37"/>
        <n v="211002.12"/>
        <n v="2411.96"/>
        <n v="191499.71"/>
        <n v="183480.87"/>
        <n v="222053.68"/>
        <n v="155623.85999999999"/>
        <n v="281943.71999999997"/>
        <n v="13748.9"/>
        <n v="72669.97"/>
        <n v="42417.58"/>
        <n v="266864.68"/>
        <n v="63062.28"/>
        <n v="272156.33"/>
        <n v="156399.29999999999"/>
        <n v="184669.5"/>
        <n v="207241.97"/>
        <n v="168485.59"/>
        <n v="222396.85"/>
        <n v="54190.42"/>
        <n v="219965.28"/>
        <n v="251801.01"/>
        <n v="29756.89"/>
        <n v="294514.71999999997"/>
        <n v="98714.03"/>
        <n v="287229.48"/>
        <n v="202922.64"/>
        <n v="248471.54"/>
        <n v="157576.69"/>
        <n v="255203.07"/>
        <n v="127526.34"/>
        <n v="276970.25"/>
        <n v="52952.39"/>
        <n v="231466.69"/>
        <n v="191206.05"/>
        <n v="224826.46"/>
        <n v="192636.74"/>
        <n v="211879.67999999999"/>
        <n v="115380.53"/>
        <n v="293627.95"/>
        <n v="69284.39"/>
        <n v="157533.4"/>
        <n v="170251.85"/>
        <n v="173753.06"/>
        <n v="47803.35"/>
        <n v="157421.35"/>
        <n v="248717.83"/>
        <n v="270431.25"/>
        <n v="68649.2"/>
        <n v="256418.56"/>
        <n v="282220.37"/>
        <n v="228607.88"/>
        <n v="104084.92"/>
        <n v="34106.53"/>
        <n v="289261.24"/>
        <n v="138518.29"/>
        <n v="1403.13"/>
        <n v="40692.879999999997"/>
        <n v="99715.55"/>
        <n v="40330.449999999997"/>
        <n v="160922.84"/>
        <n v="277285.7"/>
        <n v="42470.6"/>
        <n v="163185.67000000001"/>
        <n v="121880.85"/>
        <n v="208840.07"/>
        <n v="230733.14"/>
        <n v="176481.31"/>
        <n v="245605.56"/>
        <n v="268318.42"/>
        <n v="295715.82"/>
        <n v="250529.07"/>
        <n v="241492.86"/>
        <n v="17162.919999999998"/>
        <n v="54404.41"/>
        <n v="113560.16"/>
        <n v="18219.189999999999"/>
        <n v="226438.52"/>
        <n v="88910.09"/>
        <n v="7020.25"/>
        <n v="203785.66"/>
        <n v="222571.82"/>
        <n v="172076.77"/>
        <n v="254908.01"/>
        <n v="139176.04"/>
        <n v="191798.38"/>
        <n v="134209.1"/>
        <n v="24169.32"/>
        <n v="172256.3"/>
        <n v="142730.32999999999"/>
        <n v="287192.45"/>
        <n v="167859.76"/>
        <n v="268489.96999999997"/>
        <n v="231067.39"/>
        <n v="105976.76"/>
        <n v="30509.29"/>
        <n v="131969.35999999999"/>
        <n v="261693.68"/>
        <n v="5211.66"/>
        <n v="45733.38"/>
        <n v="56949.9"/>
        <n v="90342.399999999994"/>
        <n v="49778.879999999997"/>
        <n v="169405.48"/>
        <n v="113359.02"/>
        <n v="137074.89000000001"/>
        <n v="250942.86"/>
        <n v="222008.43"/>
        <n v="291631.03000000003"/>
        <n v="134297.29"/>
        <n v="196963.63"/>
        <n v="18546.560000000001"/>
        <n v="269717.36"/>
        <n v="138457.26999999999"/>
        <n v="173453.71"/>
        <n v="216862.87"/>
        <n v="216638.48"/>
        <n v="170225.43"/>
        <n v="273882.67"/>
        <n v="88859.77"/>
        <n v="169391.4"/>
        <n v="99222.78"/>
        <n v="118662.47"/>
        <n v="201599.43"/>
        <n v="76709.94"/>
        <n v="66006.539999999994"/>
        <n v="128597.12"/>
        <n v="174947"/>
        <n v="40017.33"/>
        <n v="5482.77"/>
        <n v="215720.15"/>
        <n v="11670.82"/>
        <n v="70049.95"/>
        <n v="268780.26"/>
        <n v="153159.37"/>
        <n v="5189.6000000000004"/>
        <n v="94220.14"/>
        <n v="206948.51"/>
        <n v="72670.17"/>
        <n v="262428.84000000003"/>
        <n v="197955.66"/>
        <n v="122773.62"/>
        <n v="210731.25"/>
        <n v="114367.01"/>
        <n v="229764.23"/>
        <n v="111637.71"/>
        <n v="80464.800000000003"/>
        <n v="226422.06"/>
        <n v="169095.82"/>
        <n v="196849.5"/>
        <n v="171984.8"/>
        <n v="218356.93"/>
        <n v="260362.49"/>
        <n v="207226.85"/>
        <n v="103867.84"/>
        <n v="168824.4"/>
        <n v="204517"/>
        <n v="11383.78"/>
        <n v="136577.54999999999"/>
        <n v="4718.22"/>
        <n v="29067.84"/>
        <n v="108185.85"/>
        <n v="110579.4"/>
        <n v="247768.25"/>
        <n v="61045.96"/>
        <n v="124919.66"/>
        <n v="112651.05"/>
        <n v="118221.06"/>
        <n v="46958.85"/>
        <n v="178386.27"/>
        <n v="70631.37"/>
        <n v="167237.07999999999"/>
        <n v="209044.37"/>
        <n v="125244.11"/>
        <n v="181688.35"/>
        <n v="140142.01"/>
        <n v="14191.78"/>
        <n v="165417.44"/>
        <n v="164190.63"/>
        <n v="189395.14"/>
        <n v="123695.88"/>
        <n v="157553.43"/>
        <n v="248504.59"/>
        <n v="193649.72"/>
        <n v="278698.03999999998"/>
        <n v="223764.24"/>
        <n v="42364.41"/>
        <n v="289152.88"/>
        <n v="242739.76"/>
        <n v="57412.1"/>
        <n v="65496.45"/>
        <n v="278572.23"/>
        <n v="90316.6"/>
        <n v="293557.96000000002"/>
        <n v="188963.51"/>
        <n v="58351.81"/>
        <n v="264902.18"/>
        <n v="96409.87"/>
        <n v="240943.58"/>
        <n v="125924.7"/>
        <n v="141745.84"/>
        <n v="115461.94"/>
        <n v="24166.26"/>
        <n v="86363.22"/>
        <n v="157507.57999999999"/>
        <n v="56300.33"/>
        <n v="271602.67"/>
        <n v="72179.62"/>
        <n v="209508.79"/>
        <n v="160171.56"/>
        <n v="292165"/>
        <n v="70234.55"/>
        <n v="220696.03"/>
        <n v="227326.48"/>
        <n v="113462.29"/>
        <n v="275455.63"/>
        <n v="69390.58"/>
        <n v="78835.17"/>
        <n v="261751.06"/>
        <n v="207840.17"/>
        <n v="273869.06"/>
        <n v="69315.070000000007"/>
        <n v="146842.01999999999"/>
        <n v="161229.72"/>
        <n v="63936.43"/>
        <n v="9989.51"/>
        <n v="162158.06"/>
        <n v="238583.43"/>
        <n v="266396.52"/>
        <n v="62543.86"/>
        <n v="15704.25"/>
        <n v="166216.81"/>
        <n v="231875.19"/>
        <n v="127397.37"/>
        <n v="168366.03"/>
        <n v="76871.199999999997"/>
        <n v="175417.55"/>
        <n v="92872.47"/>
        <n v="254588.91"/>
        <n v="262624.84999999998"/>
        <n v="287027.3"/>
        <n v="177704.3"/>
        <n v="141885.32"/>
        <n v="293384.26"/>
        <n v="15935.22"/>
        <n v="99422.94"/>
        <n v="289373.37"/>
        <n v="280903.26"/>
        <n v="114093.3"/>
        <n v="106655.11"/>
        <n v="61565.56"/>
        <n v="13098.91"/>
        <n v="141984.97"/>
        <n v="160953.56"/>
        <n v="296656.96999999997"/>
        <n v="73797.88"/>
        <n v="151511.70000000001"/>
        <n v="266767.88"/>
        <n v="14541.79"/>
        <n v="72164.98"/>
        <n v="197603.72"/>
        <n v="86692.92"/>
        <n v="24534.87"/>
        <n v="201993.93"/>
        <n v="193173.16"/>
        <n v="171151.96"/>
        <n v="198229.21"/>
        <n v="274960.90999999997"/>
        <n v="267454.40999999997"/>
        <n v="143063.53"/>
        <n v="22298.91"/>
        <n v="146903.98000000001"/>
        <n v="248907.18"/>
        <n v="216143.58"/>
        <n v="138169.23000000001"/>
        <n v="36030.629999999997"/>
        <n v="200501.94"/>
        <n v="80026.37"/>
        <n v="274375.17"/>
        <n v="84062.42"/>
        <n v="186124.36"/>
        <n v="5509.48"/>
        <n v="161609.51999999999"/>
        <n v="232494.54"/>
        <n v="257333.6"/>
        <n v="215868.65"/>
        <n v="86529.89"/>
        <n v="113461.81"/>
        <n v="82908.600000000006"/>
        <n v="204383.39"/>
        <n v="266833.36"/>
        <n v="211617.83"/>
        <n v="294686.96000000002"/>
        <n v="232931.05"/>
        <n v="90133.43"/>
        <n v="195336.34"/>
        <n v="253676.27"/>
        <n v="38640.449999999997"/>
        <n v="210265.27"/>
        <n v="232032.77"/>
        <n v="15880.87"/>
        <n v="23989.09"/>
      </sharedItems>
    </cacheField>
    <cacheField name="Total Sale" numFmtId="0">
      <sharedItems containsSemiMixedTypes="0" containsString="0" containsNumber="1" minValue="57887.040000000001" maxValue="28734589.799999997" count="514">
        <n v="9171739.3300000001"/>
        <n v="3846979.6100000003"/>
        <n v="11884386.16"/>
        <n v="85725.759999999995"/>
        <n v="5282830.08"/>
        <n v="13030321.359999999"/>
        <n v="12186790.27"/>
        <n v="8875416.4199999999"/>
        <n v="7312487.9500000002"/>
        <n v="3349813.1399999997"/>
        <n v="16327137.84"/>
        <n v="13221824.16"/>
        <n v="4550713.8999999994"/>
        <n v="12595668.18"/>
        <n v="1136534.73"/>
        <n v="5665829.3200000003"/>
        <n v="1557090.6"/>
        <n v="477007.23"/>
        <n v="17520575.550000001"/>
        <n v="16392655.949999999"/>
        <n v="9050934.290000001"/>
        <n v="6777453.1100000003"/>
        <n v="7318325.8200000003"/>
        <n v="5832554.7700000005"/>
        <n v="3414147.87"/>
        <n v="3090787.68"/>
        <n v="550892.64"/>
        <n v="21985540.600000001"/>
        <n v="26075188.41"/>
        <n v="6574632.5999999996"/>
        <n v="8630970.959999999"/>
        <n v="13133912.18"/>
        <n v="3840099.75"/>
        <n v="12733005"/>
        <n v="6354924.0499999998"/>
        <n v="1507949.4"/>
        <n v="13861863.359999999"/>
        <n v="2614248.5699999998"/>
        <n v="7006907.7000000002"/>
        <n v="1175180.82"/>
        <n v="3195562.43"/>
        <n v="1788402.03"/>
        <n v="3005590.86"/>
        <n v="2946414.5"/>
        <n v="10664081.92"/>
        <n v="10189445.84"/>
        <n v="9553782.5899999999"/>
        <n v="6243068.75"/>
        <n v="6337332.8899999997"/>
        <n v="6294337.29"/>
        <n v="2053212.3900000001"/>
        <n v="16863342.27"/>
        <n v="3291275.1100000003"/>
        <n v="3737017.44"/>
        <n v="9149088.6199999992"/>
        <n v="13982808.790000001"/>
        <n v="4718153.5"/>
        <n v="7713115.0099999998"/>
        <n v="1444865.5"/>
        <n v="11150946.459999999"/>
        <n v="7458328.9500000002"/>
        <n v="933143.96"/>
        <n v="10543410.359999999"/>
        <n v="5392609.04"/>
        <n v="3228337.28"/>
        <n v="6231779.3499999996"/>
        <n v="2302477.52"/>
        <n v="6906951.7400000002"/>
        <n v="896761.32"/>
        <n v="8410482.209999999"/>
        <n v="5905857.8500000006"/>
        <n v="12674995.25"/>
        <n v="18668695.27"/>
        <n v="4225323.5"/>
        <n v="970720.6100000001"/>
        <n v="706412.82"/>
        <n v="9884382.4700000007"/>
        <n v="11106923.439999999"/>
        <n v="3114181.2"/>
        <n v="14017820.67"/>
        <n v="5491080.9699999997"/>
        <n v="5086037.32"/>
        <n v="5388823.0700000003"/>
        <n v="4223818.09"/>
        <n v="2181950"/>
        <n v="3035685.35"/>
        <n v="3200167.02"/>
        <n v="13470973.620000001"/>
        <n v="905482.20000000007"/>
        <n v="1670342.04"/>
        <n v="4739720.17"/>
        <n v="5116164.79"/>
        <n v="8719707.3599999994"/>
        <n v="1443200.55"/>
        <n v="4871655.28"/>
        <n v="6665108.3999999994"/>
        <n v="3744794.09"/>
        <n v="4098181.92"/>
        <n v="6484581.54"/>
        <n v="9599675.7400000002"/>
        <n v="9930098.4299999997"/>
        <n v="10208663.200000001"/>
        <n v="5554925.2999999998"/>
        <n v="9213945.3300000001"/>
        <n v="6757289.169999999"/>
        <n v="3839569.59"/>
        <n v="12933270.589999998"/>
        <n v="10667859.310000001"/>
        <n v="3447015.7199999997"/>
        <n v="3482518.58"/>
        <n v="816885.0199999999"/>
        <n v="3283350.4"/>
        <n v="7483929.8499999996"/>
        <n v="11115227.869999999"/>
        <n v="6744382.5"/>
        <n v="6428007.169999999"/>
        <n v="4507287.78"/>
        <n v="14073576.6"/>
        <n v="119644.14"/>
        <n v="1051499.98"/>
        <n v="8508574.5"/>
        <n v="9600333.2699999996"/>
        <n v="12301198.140000001"/>
        <n v="4374205.88"/>
        <n v="3864091.37"/>
        <n v="9657861.2699999996"/>
        <n v="7360890.4299999997"/>
        <n v="1561027.92"/>
        <n v="4331882.75"/>
        <n v="16028191.4"/>
        <n v="9014319.8800000008"/>
        <n v="4007982.8099999996"/>
        <n v="5449817.0999999996"/>
        <n v="4678374.83"/>
        <n v="12935095.129999999"/>
        <n v="7134012.2699999996"/>
        <n v="12133324.01"/>
        <n v="10315099.869999999"/>
        <n v="6719685.8800000008"/>
        <n v="13999307.67"/>
        <n v="6839061.1799999997"/>
        <n v="4064732.4899999998"/>
        <n v="2882823.96"/>
        <n v="9681015.3499999996"/>
        <n v="5844980.1600000001"/>
        <n v="7420794.2799999993"/>
        <n v="1158304.19"/>
        <n v="15691749.92"/>
        <n v="4686194.22"/>
        <n v="3358279.7199999997"/>
        <n v="3411239.32"/>
        <n v="230559.64"/>
        <n v="11814045.02"/>
        <n v="10115195.709999999"/>
        <n v="11312782.5"/>
        <n v="19089619.920000002"/>
        <n v="13169595.52"/>
        <n v="7324744.1399999997"/>
        <n v="1069812.1199999999"/>
        <n v="11993213.720000001"/>
        <n v="10747817.119999999"/>
        <n v="717097.72"/>
        <n v="291699.65999999997"/>
        <n v="7667471.4299999997"/>
        <n v="827358.27"/>
        <n v="1929864.65"/>
        <n v="5836532.8500000006"/>
        <n v="7164719.4799999995"/>
        <n v="12419933.77"/>
        <n v="13304178.609999999"/>
        <n v="1397378.8"/>
        <n v="11336114.709999999"/>
        <n v="8381064.9100000001"/>
        <n v="6583206.3399999999"/>
        <n v="688377.97000000009"/>
        <n v="11538019.66"/>
        <n v="5957289.2599999998"/>
        <n v="11578932.689999999"/>
        <n v="9344432.6999999993"/>
        <n v="11575953.359999999"/>
        <n v="1773892.88"/>
        <n v="5606691.1000000006"/>
        <n v="12768142.92"/>
        <n v="5385913.8300000001"/>
        <n v="5828548.6799999997"/>
        <n v="15105632.49"/>
        <n v="7515189.080000001"/>
        <n v="1958899.3699999999"/>
        <n v="7632727.1500000004"/>
        <n v="13276321.239999998"/>
        <n v="10175230.220000001"/>
        <n v="580191.03"/>
        <n v="6329990.0100000007"/>
        <n v="9516707.5800000001"/>
        <n v="13196645.9"/>
        <n v="7515162.1800000006"/>
        <n v="2548183.4899999998"/>
        <n v="1364282.4600000002"/>
        <n v="12994584.910000002"/>
        <n v="6084463.96"/>
        <n v="4768859.7"/>
        <n v="28734589.799999997"/>
        <n v="4291326.07"/>
        <n v="4041148.83"/>
        <n v="5769991.7299999995"/>
        <n v="3170553.62"/>
        <n v="9917099.6400000006"/>
        <n v="57887.040000000001"/>
        <n v="6319490.4299999997"/>
        <n v="5687906.9699999997"/>
        <n v="10436522.959999999"/>
        <n v="12761156.52"/>
        <n v="13251354.839999998"/>
        <n v="811185.1"/>
        <n v="3415488.59"/>
        <n v="1993626.26"/>
        <n v="12542639.959999999"/>
        <n v="2963927.16"/>
        <n v="12791347.510000002"/>
        <n v="7350767.0999999996"/>
        <n v="14588890.5"/>
        <n v="9740372.5899999999"/>
        <n v="7918822.7299999995"/>
        <n v="2001571.6500000001"/>
        <n v="2546949.7399999998"/>
        <n v="15617534.880000001"/>
        <n v="11834647.470000001"/>
        <n v="1398573.83"/>
        <n v="13842191.839999998"/>
        <n v="4639559.41"/>
        <n v="13499785.559999999"/>
        <n v="9537364.0800000001"/>
        <n v="11678162.380000001"/>
        <n v="7406104.4299999997"/>
        <n v="11994544.290000001"/>
        <n v="6121264.3200000003"/>
        <n v="13017601.75"/>
        <n v="2488762.33"/>
        <n v="10878934.43"/>
        <n v="8986684.3499999996"/>
        <n v="10342017.16"/>
        <n v="9053926.7799999993"/>
        <n v="9958344.959999999"/>
        <n v="5422884.9100000001"/>
        <n v="13800513.65"/>
        <n v="3325650.7199999997"/>
        <n v="7404069.7999999998"/>
        <n v="7831585.1000000006"/>
        <n v="8166393.8200000003"/>
        <n v="2246757.4499999997"/>
        <n v="13065972.050000001"/>
        <n v="11689738.01"/>
        <n v="15955443.75"/>
        <n v="480544.39999999997"/>
        <n v="12051672.32"/>
        <n v="13264357.390000001"/>
        <n v="10744570.359999999"/>
        <n v="4891991.24"/>
        <n v="1466580.79"/>
        <n v="15620106.959999999"/>
        <n v="6510359.6300000008"/>
        <n v="65947.11"/>
        <n v="2278801.2799999998"/>
        <n v="4088337.5500000003"/>
        <n v="1895531.15"/>
        <n v="8850756.1999999993"/>
        <n v="13032427.9"/>
        <n v="1996118.2"/>
        <n v="10607068.550000001"/>
        <n v="5728399.9500000002"/>
        <n v="3550281.19"/>
        <n v="10844457.58"/>
        <n v="8294621.5700000003"/>
        <n v="11543461.32"/>
        <n v="12610965.739999998"/>
        <n v="13898643.540000001"/>
        <n v="16534918.620000001"/>
        <n v="9031125.4800000004"/>
        <n v="11350164.42"/>
        <n v="806657.23999999987"/>
        <n v="2557007.27"/>
        <n v="5337327.5200000005"/>
        <n v="856301.92999999993"/>
        <n v="10642610.439999999"/>
        <n v="4178774.23"/>
        <n v="329951.75"/>
        <n v="9577926.0199999996"/>
        <n v="7314321.419999999"/>
        <n v="19363748.34"/>
        <n v="8087608.1899999995"/>
        <n v="4078528.16"/>
        <n v="6541273.8800000008"/>
        <n v="12923851.98"/>
        <n v="9014523.8599999994"/>
        <n v="6307827.7000000002"/>
        <n v="1135958.04"/>
        <n v="8096046.0999999996"/>
        <n v="3853718.9099999997"/>
        <n v="13498045.15"/>
        <n v="5602458.959999999"/>
        <n v="7889408.7200000007"/>
        <n v="12619028.589999998"/>
        <n v="10860167.33"/>
        <n v="8372164.04"/>
        <n v="1433936.6300000001"/>
        <n v="6202559.919999999"/>
        <n v="8635891.4399999995"/>
        <n v="244948.02"/>
        <n v="1783601.8199999998"/>
        <n v="1082048.1000000001"/>
        <n v="4246092.8"/>
        <n v="2538722.88"/>
        <n v="7962057.5600000005"/>
        <n v="5327873.9400000004"/>
        <n v="12473814.990000002"/>
        <n v="11794314.42"/>
        <n v="10434396.209999999"/>
        <n v="12248503.260000002"/>
        <n v="6311972.6300000008"/>
        <n v="9257290.6099999994"/>
        <n v="871688.32000000007"/>
        <n v="12676715.92"/>
        <n v="6507491.6899999995"/>
        <n v="8152324.3699999992"/>
        <n v="10192554.890000001"/>
        <n v="2502388.7999999998"/>
        <n v="10182008.560000001"/>
        <n v="8000595.21"/>
        <n v="12872485.489999998"/>
        <n v="4176409.1900000004"/>
        <n v="12145306.68"/>
        <n v="6775656"/>
        <n v="4663470.66"/>
        <n v="7357073.1399999997"/>
        <n v="9475173.209999999"/>
        <n v="3605367.18"/>
        <n v="3102307.38"/>
        <n v="10030575.359999999"/>
        <n v="8222509"/>
        <n v="1880814.51"/>
        <n v="257690.19000000003"/>
        <n v="21572015"/>
        <n v="326782.95999999996"/>
        <n v="3292347.65"/>
        <n v="12632672.220000001"/>
        <n v="459478.11"/>
        <n v="243911.2"/>
        <n v="4428346.58"/>
        <n v="13451653.15"/>
        <n v="3415497.9899999998"/>
        <n v="12334155.48"/>
        <n v="9303916.0199999996"/>
        <n v="5770360.1399999997"/>
        <n v="9904368.75"/>
        <n v="5375249.4699999997"/>
        <n v="10798918.810000001"/>
        <n v="5246972.37"/>
        <n v="3299056.8000000003"/>
        <n v="10641836.82"/>
        <n v="7947503.54"/>
        <n v="9251926.5"/>
        <n v="8083285.5999999996"/>
        <n v="10262775.709999999"/>
        <n v="12237037.029999999"/>
        <n v="9739661.9500000011"/>
        <n v="4881788.4799999995"/>
        <n v="168824.4"/>
        <n v="15747809"/>
        <n v="535037.66"/>
        <n v="6419144.8499999996"/>
        <n v="221756.34000000003"/>
        <n v="1366188.48"/>
        <n v="7032080.25"/>
        <n v="5197231.8"/>
        <n v="11645107.75"/>
        <n v="2869160.12"/>
        <n v="5871224.0200000005"/>
        <n v="7625569.1399999997"/>
        <n v="5294599.3500000006"/>
        <n v="5556389.8200000003"/>
        <n v="2207065.9499999997"/>
        <n v="8384154.6899999995"/>
        <n v="3319674.3899999997"/>
        <n v="7860142.7599999998"/>
        <n v="9825085.3900000006"/>
        <n v="4383543.8499999996"/>
        <n v="2543636.9"/>
        <n v="6586674.4700000007"/>
        <n v="667013.66"/>
        <n v="7774619.6799999997"/>
        <n v="7716959.6100000003"/>
        <n v="1515161.12"/>
        <n v="10266758.040000001"/>
        <n v="7405011.21"/>
        <n v="11679715.73"/>
        <n v="9101536.8399999999"/>
        <n v="13098807.879999999"/>
        <n v="10516919.279999999"/>
        <n v="1991127.2700000003"/>
        <n v="13590185.359999999"/>
        <n v="16506303.68"/>
        <n v="2698368.6999999997"/>
        <n v="3798794.0999999996"/>
        <n v="13092894.809999999"/>
        <n v="4244880.2"/>
        <n v="13210108.200000001"/>
        <n v="8881284.9700000007"/>
        <n v="4843200.2299999995"/>
        <n v="12450402.459999999"/>
        <n v="6941510.6399999997"/>
        <n v="7710194.5599999996"/>
        <n v="5918460.8999999994"/>
        <n v="2693170.96"/>
        <n v="11199808.18"/>
        <n v="1135814.22"/>
        <n v="4059071.34"/>
        <n v="7402856.2599999998"/>
        <n v="2646115.5100000002"/>
        <n v="12765325.489999998"/>
        <n v="3392442.1399999997"/>
        <n v="2304596.69"/>
        <n v="7528063.3200000003"/>
        <n v="13731755"/>
        <n v="3090320.2"/>
        <n v="10372713.41"/>
        <n v="17958791.920000002"/>
        <n v="6580812.8199999994"/>
        <n v="12946414.609999999"/>
        <n v="3261357.2600000002"/>
        <n v="3705252.9899999998"/>
        <n v="12302299.82"/>
        <n v="9768487.9900000002"/>
        <n v="9859286.1600000001"/>
        <n v="3257808.2900000005"/>
        <n v="6901574.9399999995"/>
        <n v="7577796.8399999999"/>
        <n v="3005012.21"/>
        <n v="469506.97000000003"/>
        <n v="7621428.8200000003"/>
        <n v="11213421.209999999"/>
        <n v="12520636.440000001"/>
        <n v="3252280.72"/>
        <n v="62817"/>
        <n v="7812190.0700000003"/>
        <n v="10898133.93"/>
        <n v="5987676.3899999997"/>
        <n v="7913203.4100000001"/>
        <n v="3612946.4"/>
        <n v="9998800.3499999996"/>
        <n v="6872562.7800000003"/>
        <n v="11965678.77"/>
        <n v="12343367.949999999"/>
        <n v="13490283.1"/>
        <n v="8352102.0999999996"/>
        <n v="6668610.04"/>
        <n v="13789060.220000001"/>
        <n v="748955.34"/>
        <n v="4672878.18"/>
        <n v="13600548.390000001"/>
        <n v="3089935.8600000003"/>
        <n v="5704665"/>
        <n v="5012790.17"/>
        <n v="2893581.32"/>
        <n v="615648.77"/>
        <n v="6673293.5899999999"/>
        <n v="7564817.3200000003"/>
        <n v="6823110.3099999996"/>
        <n v="3468500.3600000003"/>
        <n v="7121049.9000000004"/>
        <n v="8803340.040000001"/>
        <n v="683464.13"/>
        <n v="3391754.0599999996"/>
        <n v="9287374.8399999999"/>
        <n v="4074567.2399999998"/>
        <n v="1153138.8899999999"/>
        <n v="5049848.25"/>
        <n v="9079138.5199999996"/>
        <n v="8044142.1199999992"/>
        <n v="9316772.8699999992"/>
        <n v="12923162.77"/>
        <n v="12570357.27"/>
        <n v="2718207.07"/>
        <n v="1048048.77"/>
        <n v="6904487.0600000005"/>
        <n v="11698637.459999999"/>
        <n v="10158748.26"/>
        <n v="12849738.390000001"/>
        <n v="2558174.73"/>
        <n v="11629112.52"/>
        <n v="3761239.3899999997"/>
        <n v="15639384.689999999"/>
        <n v="1008749.04"/>
        <n v="8747844.9199999999"/>
        <n v="258945.55999999997"/>
        <n v="4201847.5199999996"/>
        <n v="10927243.380000001"/>
        <n v="12094679.200000001"/>
        <n v="10145826.549999999"/>
        <n v="4845673.84"/>
        <n v="5332705.07"/>
        <n v="3896704.2"/>
        <n v="19212038.66"/>
        <n v="12541167.92"/>
        <n v="9946038.0099999998"/>
        <n v="13850287.120000001"/>
        <n v="10947759.35"/>
        <n v="4236271.21"/>
        <n v="9180807.9800000004"/>
        <n v="11922784.689999999"/>
        <n v="425044.94999999995"/>
        <n v="9882467.6899999995"/>
        <n v="10905540.189999999"/>
        <n v="1079899.1600000001"/>
        <n v="143934.54"/>
      </sharedItems>
    </cacheField>
    <cacheField name="Sale Date" numFmtId="14">
      <sharedItems containsSemiMixedTypes="0" containsNonDate="0" containsDate="1" containsString="0" minDate="2023-01-10T00:00:00" maxDate="2025-12-06T00:00:00" count="393">
        <d v="2025-02-28T00:00:00"/>
        <d v="2024-10-30T00:00:00"/>
        <d v="2024-04-09T00:00:00"/>
        <d v="2024-01-18T00:00:00"/>
        <d v="2025-05-23T00:00:00"/>
        <d v="2024-01-21T00:00:00"/>
        <d v="2024-07-21T00:00:00"/>
        <d v="2023-10-28T00:00:00"/>
        <d v="2023-09-26T00:00:00"/>
        <d v="2024-03-23T00:00:00"/>
        <d v="2024-08-13T00:00:00"/>
        <d v="2024-02-07T00:00:00"/>
        <d v="2024-03-15T00:00:00"/>
        <d v="2023-06-12T00:00:00"/>
        <d v="2024-09-19T00:00:00"/>
        <d v="2025-03-07T00:00:00"/>
        <d v="2023-11-29T00:00:00"/>
        <d v="2025-04-04T00:00:00"/>
        <d v="2023-05-09T00:00:00"/>
        <d v="2024-08-16T00:00:00"/>
        <d v="2025-03-03T00:00:00"/>
        <d v="2024-12-20T00:00:00"/>
        <d v="2024-06-05T00:00:00"/>
        <d v="2023-09-12T00:00:00"/>
        <d v="2025-03-27T00:00:00"/>
        <d v="2024-03-03T00:00:00"/>
        <d v="2024-01-19T00:00:00"/>
        <d v="2023-11-11T00:00:00"/>
        <d v="2024-08-22T00:00:00"/>
        <d v="2024-05-04T00:00:00"/>
        <d v="2024-07-11T00:00:00"/>
        <d v="2025-04-25T00:00:00"/>
        <d v="2024-06-17T00:00:00"/>
        <d v="2024-07-16T00:00:00"/>
        <d v="2025-01-20T00:00:00"/>
        <d v="2024-09-13T00:00:00"/>
        <d v="2024-09-28T00:00:00"/>
        <d v="2024-04-04T00:00:00"/>
        <d v="2024-01-02T00:00:00"/>
        <d v="2024-03-11T00:00:00"/>
        <d v="2025-05-13T00:00:00"/>
        <d v="2025-10-03T00:00:00"/>
        <d v="2024-03-13T00:00:00"/>
        <d v="2023-02-08T00:00:00"/>
        <d v="2025-04-07T00:00:00"/>
        <d v="2025-06-24T00:00:00"/>
        <d v="2024-08-30T00:00:00"/>
        <d v="2024-04-25T00:00:00"/>
        <d v="2025-05-26T00:00:00"/>
        <d v="2023-08-08T00:00:00"/>
        <d v="2025-02-23T00:00:00"/>
        <d v="2024-02-20T00:00:00"/>
        <d v="2023-08-19T00:00:00"/>
        <d v="2024-10-24T00:00:00"/>
        <d v="2024-12-21T00:00:00"/>
        <d v="2025-06-13T00:00:00"/>
        <d v="2024-03-04T00:00:00"/>
        <d v="2024-08-21T00:00:00"/>
        <d v="2024-07-29T00:00:00"/>
        <d v="2023-08-17T00:00:00"/>
        <d v="2024-11-17T00:00:00"/>
        <d v="2024-11-15T00:00:00"/>
        <d v="2024-03-28T00:00:00"/>
        <d v="2024-07-03T00:00:00"/>
        <d v="2024-07-01T00:00:00"/>
        <d v="2025-04-16T00:00:00"/>
        <d v="2024-09-18T00:00:00"/>
        <d v="2023-12-25T00:00:00"/>
        <d v="2024-02-11T00:00:00"/>
        <d v="2023-11-18T00:00:00"/>
        <d v="2024-09-08T00:00:00"/>
        <d v="2025-03-20T00:00:00"/>
        <d v="2023-10-19T00:00:00"/>
        <d v="2025-03-26T00:00:00"/>
        <d v="2023-09-15T00:00:00"/>
        <d v="2024-06-10T00:00:00"/>
        <d v="2024-06-02T00:00:00"/>
        <d v="2023-07-12T00:00:00"/>
        <d v="2024-09-27T00:00:00"/>
        <d v="2024-11-04T00:00:00"/>
        <d v="2024-03-01T00:00:00"/>
        <d v="2025-03-29T00:00:00"/>
        <d v="2023-08-28T00:00:00"/>
        <d v="2024-09-02T00:00:00"/>
        <d v="2024-04-10T00:00:00"/>
        <d v="2025-04-28T00:00:00"/>
        <d v="2024-05-17T00:00:00"/>
        <d v="2024-02-27T00:00:00"/>
        <d v="2023-10-08T00:00:00"/>
        <d v="2025-04-24T00:00:00"/>
        <d v="2024-02-10T00:00:00"/>
        <d v="2024-10-09T00:00:00"/>
        <d v="2024-11-09T00:00:00"/>
        <d v="2024-07-20T00:00:00"/>
        <d v="2023-08-20T00:00:00"/>
        <d v="2023-07-17T00:00:00"/>
        <d v="2023-08-30T00:00:00"/>
        <d v="2024-09-20T00:00:00"/>
        <d v="2024-11-20T00:00:00"/>
        <d v="2025-06-15T00:00:00"/>
        <d v="2025-03-19T00:00:00"/>
        <d v="2023-07-25T00:00:00"/>
        <d v="2023-10-25T00:00:00"/>
        <d v="2024-05-27T00:00:00"/>
        <d v="2023-12-18T00:00:00"/>
        <d v="2025-09-04T00:00:00"/>
        <d v="2025-05-06T00:00:00"/>
        <d v="2023-04-08T00:00:00"/>
        <d v="2024-06-09T00:00:00"/>
        <d v="2024-01-14T00:00:00"/>
        <d v="2024-07-07T00:00:00"/>
        <d v="2025-12-01T00:00:00"/>
        <d v="2023-10-14T00:00:00"/>
        <d v="2024-01-17T00:00:00"/>
        <d v="2024-04-17T00:00:00"/>
        <d v="2024-12-24T00:00:00"/>
        <d v="2024-01-13T00:00:00"/>
        <d v="2024-08-08T00:00:00"/>
        <d v="2023-04-10T00:00:00"/>
        <d v="2024-11-28T00:00:00"/>
        <d v="2025-01-24T00:00:00"/>
        <d v="2024-08-28T00:00:00"/>
        <d v="2025-02-22T00:00:00"/>
        <d v="2025-01-21T00:00:00"/>
        <d v="2025-06-18T00:00:00"/>
        <d v="2024-04-19T00:00:00"/>
        <d v="2023-12-16T00:00:00"/>
        <d v="2024-02-14T00:00:00"/>
        <d v="2025-03-18T00:00:00"/>
        <d v="2023-12-12T00:00:00"/>
        <d v="2024-03-31T00:00:00"/>
        <d v="2025-11-04T00:00:00"/>
        <d v="2024-11-18T00:00:00"/>
        <d v="2024-02-13T00:00:00"/>
        <d v="2024-12-30T00:00:00"/>
        <d v="2023-12-11T00:00:00"/>
        <d v="2025-05-18T00:00:00"/>
        <d v="2024-10-04T00:00:00"/>
        <d v="2023-09-27T00:00:00"/>
        <d v="2024-07-31T00:00:00"/>
        <d v="2025-04-01T00:00:00"/>
        <d v="2024-05-03T00:00:00"/>
        <d v="2024-10-31T00:00:00"/>
        <d v="2023-08-31T00:00:00"/>
        <d v="2023-03-08T00:00:00"/>
        <d v="2023-02-10T00:00:00"/>
        <d v="2023-09-18T00:00:00"/>
        <d v="2024-01-04T00:00:00"/>
        <d v="2024-01-26T00:00:00"/>
        <d v="2023-06-09T00:00:00"/>
        <d v="2025-06-04T00:00:00"/>
        <d v="2025-02-25T00:00:00"/>
        <d v="2024-06-30T00:00:00"/>
        <d v="2023-12-14T00:00:00"/>
        <d v="2025-10-06T00:00:00"/>
        <d v="2024-02-19T00:00:00"/>
        <d v="2025-06-27T00:00:00"/>
        <d v="2024-06-11T00:00:00"/>
        <d v="2025-01-17T00:00:00"/>
        <d v="2025-02-06T00:00:00"/>
        <d v="2023-11-08T00:00:00"/>
        <d v="2024-07-24T00:00:00"/>
        <d v="2025-08-03T00:00:00"/>
        <d v="2024-02-21T00:00:00"/>
        <d v="2025-01-03T00:00:00"/>
        <d v="2024-06-18T00:00:00"/>
        <d v="2025-02-03T00:00:00"/>
        <d v="2024-07-17T00:00:00"/>
        <d v="2023-11-23T00:00:00"/>
        <d v="2024-03-24T00:00:00"/>
        <d v="2025-06-25T00:00:00"/>
        <d v="2023-12-21T00:00:00"/>
        <d v="2024-04-28T00:00:00"/>
        <d v="2024-12-01T00:00:00"/>
        <d v="2023-11-10T00:00:00"/>
        <d v="2024-11-06T00:00:00"/>
        <d v="2024-04-22T00:00:00"/>
        <d v="2024-12-02T00:00:00"/>
        <d v="2024-05-24T00:00:00"/>
        <d v="2023-10-11T00:00:00"/>
        <d v="2025-01-31T00:00:00"/>
        <d v="2024-03-25T00:00:00"/>
        <d v="2025-03-02T00:00:00"/>
        <d v="2025-06-07T00:00:00"/>
        <d v="2024-05-29T00:00:00"/>
        <d v="2023-03-10T00:00:00"/>
        <d v="2025-01-18T00:00:00"/>
        <d v="2024-07-15T00:00:00"/>
        <d v="2025-01-25T00:00:00"/>
        <d v="2023-08-15T00:00:00"/>
        <d v="2023-10-20T00:00:00"/>
        <d v="2024-11-29T00:00:00"/>
        <d v="2023-01-11T00:00:00"/>
        <d v="2024-01-12T00:00:00"/>
        <d v="2025-03-14T00:00:00"/>
        <d v="2025-08-01T00:00:00"/>
        <d v="2025-04-29T00:00:00"/>
        <d v="2024-12-17T00:00:00"/>
        <d v="2025-01-02T00:00:00"/>
        <d v="2024-09-10T00:00:00"/>
        <d v="2024-03-14T00:00:00"/>
        <d v="2024-01-10T00:00:00"/>
        <d v="2023-10-16T00:00:00"/>
        <d v="2023-09-21T00:00:00"/>
        <d v="2024-04-20T00:00:00"/>
        <d v="2025-05-02T00:00:00"/>
        <d v="2024-12-05T00:00:00"/>
        <d v="2025-06-29T00:00:00"/>
        <d v="2024-04-23T00:00:00"/>
        <d v="2024-01-08T00:00:00"/>
        <d v="2023-10-18T00:00:00"/>
        <d v="2025-02-27T00:00:00"/>
        <d v="2025-11-01T00:00:00"/>
        <d v="2025-01-22T00:00:00"/>
        <d v="2024-12-07T00:00:00"/>
        <d v="2025-02-04T00:00:00"/>
        <d v="2024-01-05T00:00:00"/>
        <d v="2024-02-02T00:00:00"/>
        <d v="2025-06-17T00:00:00"/>
        <d v="2024-05-22T00:00:00"/>
        <d v="2024-11-05T00:00:00"/>
        <d v="2025-04-02T00:00:00"/>
        <d v="2024-09-29T00:00:00"/>
        <d v="2024-03-02T00:00:00"/>
        <d v="2025-10-05T00:00:00"/>
        <d v="2024-06-29T00:00:00"/>
        <d v="2024-12-26T00:00:00"/>
        <d v="2023-08-25T00:00:00"/>
        <d v="2025-03-15T00:00:00"/>
        <d v="2024-02-17T00:00:00"/>
        <d v="2024-07-28T00:00:00"/>
        <d v="2024-09-03T00:00:00"/>
        <d v="2024-11-21T00:00:00"/>
        <d v="2024-10-17T00:00:00"/>
        <d v="2025-09-07T00:00:00"/>
        <d v="2025-05-07T00:00:00"/>
        <d v="2024-06-16T00:00:00"/>
        <d v="2024-07-14T00:00:00"/>
        <d v="2023-10-31T00:00:00"/>
        <d v="2024-05-31T00:00:00"/>
        <d v="2024-07-13T00:00:00"/>
        <d v="2023-07-15T00:00:00"/>
        <d v="2024-09-30T00:00:00"/>
        <d v="2024-06-24T00:00:00"/>
        <d v="2025-08-06T00:00:00"/>
        <d v="2024-10-27T00:00:00"/>
        <d v="2025-12-04T00:00:00"/>
        <d v="2024-03-30T00:00:00"/>
        <d v="2025-06-19T00:00:00"/>
        <d v="2023-10-15T00:00:00"/>
        <d v="2023-12-19T00:00:00"/>
        <d v="2023-02-11T00:00:00"/>
        <d v="2024-05-15T00:00:00"/>
        <d v="2024-10-14T00:00:00"/>
        <d v="2023-10-09T00:00:00"/>
        <d v="2024-03-17T00:00:00"/>
        <d v="2024-04-30T00:00:00"/>
        <d v="2024-04-16T00:00:00"/>
        <d v="2024-05-19T00:00:00"/>
        <d v="2024-08-02T00:00:00"/>
        <d v="2025-02-17T00:00:00"/>
        <d v="2023-11-20T00:00:00"/>
        <d v="2024-08-27T00:00:00"/>
        <d v="2024-01-01T00:00:00"/>
        <d v="2023-12-24T00:00:00"/>
        <d v="2025-01-15T00:00:00"/>
        <d v="2024-08-14T00:00:00"/>
        <d v="2024-10-07T00:00:00"/>
        <d v="2025-04-21T00:00:00"/>
        <d v="2024-09-11T00:00:00"/>
        <d v="2024-10-01T00:00:00"/>
        <d v="2023-10-12T00:00:00"/>
        <d v="2024-05-08T00:00:00"/>
        <d v="2023-10-23T00:00:00"/>
        <d v="2023-03-11T00:00:00"/>
        <d v="2024-12-15T00:00:00"/>
        <d v="2023-11-15T00:00:00"/>
        <d v="2023-11-24T00:00:00"/>
        <d v="2025-04-20T00:00:00"/>
        <d v="2023-09-24T00:00:00"/>
        <d v="2024-02-01T00:00:00"/>
        <d v="2024-11-07T00:00:00"/>
        <d v="2024-06-07T00:00:00"/>
        <d v="2024-09-25T00:00:00"/>
        <d v="2025-02-20T00:00:00"/>
        <d v="2025-01-26T00:00:00"/>
        <d v="2025-06-30T00:00:00"/>
        <d v="2023-10-30T00:00:00"/>
        <d v="2024-11-27T00:00:00"/>
        <d v="2025-02-05T00:00:00"/>
        <d v="2025-01-05T00:00:00"/>
        <d v="2023-02-12T00:00:00"/>
        <d v="2025-02-16T00:00:00"/>
        <d v="2024-07-18T00:00:00"/>
        <d v="2024-06-03T00:00:00"/>
        <d v="2024-03-21T00:00:00"/>
        <d v="2024-10-03T00:00:00"/>
        <d v="2024-03-19T00:00:00"/>
        <d v="2025-04-27T00:00:00"/>
        <d v="2025-01-13T00:00:00"/>
        <d v="2023-10-26T00:00:00"/>
        <d v="2024-10-28T00:00:00"/>
        <d v="2025-10-04T00:00:00"/>
        <d v="2025-05-22T00:00:00"/>
        <d v="2023-08-23T00:00:00"/>
        <d v="2025-10-07T00:00:00"/>
        <d v="2024-02-03T00:00:00"/>
        <d v="2025-05-31T00:00:00"/>
        <d v="2024-06-27T00:00:00"/>
        <d v="2023-01-10T00:00:00"/>
        <d v="2025-12-05T00:00:00"/>
        <d v="2023-05-12T00:00:00"/>
        <d v="2024-06-08T00:00:00"/>
        <d v="2024-11-30T00:00:00"/>
        <d v="2024-10-23T00:00:00"/>
        <d v="2024-02-28T00:00:00"/>
        <d v="2023-07-23T00:00:00"/>
        <d v="2024-10-11T00:00:00"/>
        <d v="2024-01-15T00:00:00"/>
        <d v="2024-10-26T00:00:00"/>
        <d v="2024-12-28T00:00:00"/>
        <d v="2023-10-13T00:00:00"/>
        <d v="2023-12-08T00:00:00"/>
        <d v="2025-04-14T00:00:00"/>
        <d v="2024-05-30T00:00:00"/>
        <d v="2025-11-02T00:00:00"/>
        <d v="2024-10-12T00:00:00"/>
        <d v="2024-05-07T00:00:00"/>
        <d v="2024-05-21T00:00:00"/>
        <d v="2025-09-05T00:00:00"/>
        <d v="2024-12-16T00:00:00"/>
        <d v="2025-05-14T00:00:00"/>
        <d v="2024-05-25T00:00:00"/>
        <d v="2024-05-14T00:00:00"/>
        <d v="2025-01-01T00:00:00"/>
        <d v="2024-12-10T00:00:00"/>
        <d v="2024-08-15T00:00:00"/>
        <d v="2023-07-11T00:00:00"/>
        <d v="2024-03-29T00:00:00"/>
        <d v="2023-07-29T00:00:00"/>
        <d v="2025-01-07T00:00:00"/>
        <d v="2024-08-10T00:00:00"/>
        <d v="2024-04-05T00:00:00"/>
        <d v="2024-01-03T00:00:00"/>
        <d v="2024-11-23T00:00:00"/>
        <d v="2025-10-02T00:00:00"/>
        <d v="2024-03-16T00:00:00"/>
        <d v="2024-06-04T00:00:00"/>
        <d v="2024-12-14T00:00:00"/>
        <d v="2025-09-01T00:00:00"/>
        <d v="2024-07-25T00:00:00"/>
        <d v="2023-11-22T00:00:00"/>
        <d v="2025-07-07T00:00:00"/>
        <d v="2024-11-19T00:00:00"/>
        <d v="2024-09-16T00:00:00"/>
        <d v="2024-12-09T00:00:00"/>
        <d v="2023-06-11T00:00:00"/>
        <d v="2025-05-01T00:00:00"/>
        <d v="2024-07-09T00:00:00"/>
        <d v="2023-10-27T00:00:00"/>
        <d v="2023-07-31T00:00:00"/>
        <d v="2024-05-26T00:00:00"/>
        <d v="2024-03-12T00:00:00"/>
        <d v="2023-11-14T00:00:00"/>
        <d v="2024-08-17T00:00:00"/>
        <d v="2024-08-26T00:00:00"/>
        <d v="2025-05-27T00:00:00"/>
        <d v="2025-01-19T00:00:00"/>
        <d v="2024-02-16T00:00:00"/>
        <d v="2024-05-28T00:00:00"/>
        <d v="2025-04-03T00:00:00"/>
        <d v="2024-04-08T00:00:00"/>
        <d v="2024-08-29T00:00:00"/>
        <d v="2023-11-13T00:00:00"/>
        <d v="2024-10-29T00:00:00"/>
        <d v="2024-03-08T00:00:00"/>
        <d v="2024-09-06T00:00:00"/>
        <d v="2023-05-11T00:00:00"/>
        <d v="2024-10-20T00:00:00"/>
        <d v="2025-03-17T00:00:00"/>
        <d v="2024-10-16T00:00:00"/>
        <d v="2024-06-12T00:00:00"/>
        <d v="2025-02-26T00:00:00"/>
        <d v="2024-12-12T00:00:00"/>
        <d v="2024-01-09T00:00:00"/>
        <d v="2024-08-07T00:00:00"/>
        <d v="2023-12-09T00:00:00"/>
        <d v="2023-08-26T00:00:00"/>
        <d v="2025-03-06T00:00:00"/>
        <d v="2025-05-15T00:00:00"/>
        <d v="2025-11-05T00:00:00"/>
        <d v="2025-05-25T00:00:00"/>
        <d v="2024-02-08T00:00:00"/>
      </sharedItems>
    </cacheField>
    <cacheField name="Month" numFmtId="14">
      <sharedItems count="12">
        <s v="Feb"/>
        <s v="Oct"/>
        <s v="Apr"/>
        <s v="Jan"/>
        <s v="May"/>
        <s v="Jul"/>
        <s v="Sep"/>
        <s v="Mar"/>
        <s v="Aug"/>
        <s v="Jun"/>
        <s v="Nov"/>
        <s v="Dec"/>
      </sharedItems>
    </cacheField>
    <cacheField name="Year" numFmtId="14">
      <sharedItems count="3">
        <s v="2025"/>
        <s v="2024"/>
        <s v="2023"/>
      </sharedItems>
    </cacheField>
    <cacheField name="Sales Channel" numFmtId="0">
      <sharedItems count="4">
        <s v="Retail"/>
        <s v="Direct"/>
        <s v="Online"/>
        <s v="Wholesale"/>
      </sharedItems>
    </cacheField>
    <cacheField name="Order ID" numFmtId="0">
      <sharedItems count="511">
        <s v="4eb9047d-ba2a-43d9-bcf2-fc3bd95874c2"/>
        <s v="41476506-3e2b-49c9-a36f-6e5c2253e706"/>
        <s v="54a7b69b-1cd6-4b09-8f0e-6d2b315c167a"/>
        <s v="9b5f8f39-848b-44f0-b498-17354d38e415"/>
        <s v="dd1ca267-530d-4da6-88d0-f9e5991965ea"/>
        <s v="6883ac6e-6a94-4054-b241-4482519894d8"/>
        <s v="06ddf6ca-b0c3-4a59-b0f7-ad22c76a8e0f"/>
        <s v="ca5e151b-23d3-4d4c-bd5f-f093c16f9bcc"/>
        <s v="No_Order_ID"/>
        <s v="eeb19ad2-01a1-4b0f-a68b-84b63ec0a285"/>
        <s v="832f52c4-8e03-40cf-8e96-922772e76b51"/>
        <s v="61fa01ba-231a-47c7-8c9b-ff5ce1887eaf"/>
        <s v="4c636e95-025f-4543-8997-623ae0723d96"/>
        <s v="a284e8fd-755c-4e2a-b8de-d777bb1e5ae8"/>
        <s v="2dea2d2d-086c-405f-a879-d8f890422eb7"/>
        <s v="8b040f53-e639-49d4-87c6-8688ecf32053"/>
        <s v="ac7051d1-d051-467f-ac2a-c34b9e0b7b01"/>
        <s v="6118433b-882c-4d1e-ac93-a7918b60c511"/>
        <s v="90bde900-1529-46f5-aad1-1fe87d1b695e"/>
        <s v="80913ac1-0463-450e-8964-6b96fa3c1628"/>
        <s v="705fddf5-66fa-4ca0-8b53-1932bd9419aa"/>
        <s v="edef5003-1fce-41e3-842b-03ca75a72686"/>
        <s v="bff30c8d-83ff-4e96-a721-3a7017d50f59"/>
        <s v="aa2960fd-a858-44df-bf8c-1097c4da2c2e"/>
        <s v="dea050c6-eb9e-4274-ac6a-37ad81b15db9"/>
        <s v="ef145064-aab0-4015-a342-2e509e2a7324"/>
        <s v="6fff15cc-b2dc-4c34-8f67-448e10eceb1f"/>
        <s v="23dfecd7-0e73-4dd7-86ac-1b04dd1d6cd1"/>
        <s v="c8969c5b-45f8-428d-a255-e1bb07958c1f"/>
        <s v="8f0d5540-0ec7-4662-905c-7bdd74f0beae"/>
        <s v="74503887-48d9-4846-95c5-51fcfba57cc8"/>
        <s v="69a53b4f-8ff8-469d-8ec0-713dea2c7a51"/>
        <s v="982a2277-f966-459f-a6aa-59e5dc08bf29"/>
        <s v="65d0b517-88d0-4abd-8bb1-8c791036708d"/>
        <s v="6a5943ce-8364-45e3-a1c7-1aa3741423b5"/>
        <s v="e5871d89-1631-4fc6-b79d-58f9dc268108"/>
        <s v="b3b26337-6a74-4bb7-9fa5-e0aa9b11b530"/>
        <s v="c362a810-a261-4b8d-9620-bee66406face"/>
        <s v="aa8430f8-4f2d-4233-8e16-5b129bdc70d1"/>
        <s v="32399ffb-2704-4f25-8b91-b8cb6ae66582"/>
        <s v="5274ee11-b61d-4906-a570-35db3fead90a"/>
        <s v="3a67470c-7d98-402f-b357-41e5fe1a1ba9"/>
        <s v="9dbc15c0-2a7d-457c-ad9c-5b50a1fd4187"/>
        <s v="0387f74d-1149-4096-965d-744f0445c1a8"/>
        <s v="c2fa1da8-7830-4631-b8f0-188efb37afae"/>
        <s v="2dd0622e-266b-42ea-ab93-f78c620af158"/>
        <s v="eadc9960-4242-41e2-960b-e0f495132c22"/>
        <s v="d4d13d55-1db6-4844-95fa-9483f633cc2d"/>
        <s v="c4829b71-ae84-481c-ae0f-b5b38bae591e"/>
        <s v="dac726b6-6786-4fb3-b3bc-9a7107f4fee5"/>
        <s v="f780ef2f-664d-4922-a590-fd3cad6ecc57"/>
        <s v="46653497-2fe9-42aa-a886-a01136f7a26c"/>
        <s v="fdde64af-a75b-495a-94a3-4f7fd90dd19b"/>
        <s v="60538c1b-a845-40a1-8249-2e5e005fd0e6"/>
        <s v="74ed5145-8d97-45c7-961d-5c8753c9fe59"/>
        <s v="dfe2c0a0-a96b-4c42-b6d2-2a7baec76a82"/>
        <s v="0f2d5c15-eb34-4d3a-a95e-5ea9c9230c64"/>
        <s v="f1394e3c-0aee-4557-9f5d-f91254e07431"/>
        <s v="9dde0188-9803-422e-beec-e88da002352a"/>
        <s v="ef9240b6-52d7-4f10-ba3a-6e9623ff23d3"/>
        <s v="2f12b150-605f-41eb-8cc5-7e0d26332018"/>
        <s v="122dd7be-980b-481e-a359-5d1f7fe4a42e"/>
        <s v="2c591da8-fff9-4acf-ae42-05eea52fc3ec"/>
        <s v="711c7673-8535-4a69-9abf-984e53ff8461"/>
        <s v="ff6ef9ed-7e4c-429f-b8cb-ab4c97790e84"/>
        <s v="ac09bdb7-9908-4e47-b249-f62c08987462"/>
        <s v="13f3cade-7a10-413f-b6a2-c52b00473139"/>
        <s v="bb96f602-2b11-4c36-b5f8-e3a87d97ac0f"/>
        <s v="0a1fc9df-9a59-4974-9adf-4709ac75c344"/>
        <s v="42f525b9-02ed-43ce-92a8-1713b90ed44b"/>
        <s v="70fd6672-b80f-46c5-828f-a16b0aa6fcb9"/>
        <s v="3040413c-4690-4b15-a7b6-08dc589decb0"/>
        <s v="93267d25-234b-4562-98af-5cca6b11b7cb"/>
        <s v="23204ff5-b538-496c-833e-02f71e93d127"/>
        <s v="2a1f1b61-265c-49d9-8962-8f6e929c93b3"/>
        <s v="5c72aebd-13b1-4e59-885c-d7147bf69552"/>
        <s v="5d2d904f-78c5-4073-8bc5-72073e9aec86"/>
        <s v="e03635fc-a88d-4108-98d9-94b8d90f74e9"/>
        <s v="7cf07bb3-f343-49eb-b466-ef025e7b72c8"/>
        <s v="fa9fc10e-52da-4681-ab1a-c76c89ecbc51"/>
        <s v="a8c6dbc0-7bb3-447b-a9aa-144b9dd43675"/>
        <s v="0d41ee47-2a5f-4a18-a61f-0b96e75f745a"/>
        <s v="db87d29c-4cfd-4fc1-b9b0-2e2ad96e684f"/>
        <s v="a4b05c89-f10b-4e9c-982b-91eef8e8035b"/>
        <s v="3979d5f5-6b5b-4975-a7dc-2bc0bd9c4693"/>
        <s v="04482a22-0308-4a5e-a94d-7b008d388327"/>
        <s v="22af711f-1b62-4a9d-b536-6b9f320f72c0"/>
        <s v="6544e313-6ea0-4d13-a845-54c3a3f66c61"/>
        <s v="24655c39-7d4d-4add-a488-0945ad1db537"/>
        <s v="91f0647d-0f32-4333-8e31-593734fa32b6"/>
        <s v="45d8a6ad-77d0-459e-8114-14f8d9df0d0e"/>
        <s v="fa7e5d94-05d1-4b63-8194-f97f00e3a026"/>
        <s v="37fe032c-0257-4851-a6a9-e100b509109b"/>
        <s v="bb82b796-3207-443e-86a0-7656c5c9fb91"/>
        <s v="f7bf5244-7db2-47aa-a205-e54fb1e8c09d"/>
        <s v="b1ac040d-6c1c-4405-9c3f-42e0fcf7b842"/>
        <s v="65e1b0f5-ca0e-48c4-b2dc-b12b0f7ae302"/>
        <s v="225aed6c-f045-4043-a3a6-8a707e710b55"/>
        <s v="4ef4c34d-5bf8-4f3c-a612-9a1c889d4b76"/>
        <s v="2e13418d-68ab-40ea-897e-c6d1081fc6dc"/>
        <s v="592c1107-2444-4301-baeb-286bf0d0270f"/>
        <s v="d9a09007-5bb4-4c18-b281-87c4aa055442"/>
        <s v="e212ab7c-9d36-4cb6-bcc5-7be00779250a"/>
        <s v="cbc4ec0e-c2ae-4674-8beb-4e78e68373a3"/>
        <s v="d6c6f45c-dc5e-4e78-a307-d4d121c9a15d"/>
        <s v="c4d598f7-e14f-4093-8b6a-d0c7a2356dd4"/>
        <s v="adc29178-a041-4612-acd5-8759e95d2761"/>
        <s v="e097dedb-efb3-4939-b1d8-18874739cc7b"/>
        <s v="13075157-d8c1-48e7-96cd-315508a8ac7f"/>
        <s v="24e9bcfd-9647-4f9f-b508-507af622d842"/>
        <s v="16f142a2-06b9-49aa-9a71-67c768759545"/>
        <s v="8639bd41-8b15-4d94-a42d-0cd7fd359f6a"/>
        <s v="4c9d6907-13b2-4cec-adca-bf9465f6ba53"/>
        <s v="0f79a8a7-5f8a-44bd-b4bd-0c938177b661"/>
        <s v="09697101-8b2c-450a-ab15-c11bb113d50b"/>
        <s v="883f13c6-01b1-48e9-8406-ff447ce40679"/>
        <s v="4cbc9044-6bcd-4ce7-86a5-6fe86f46f1b1"/>
        <s v="49f1137d-7d59-4e19-aab7-b2ef8e0ec033"/>
        <s v="17d821b8-bb93-4d40-98df-f535c62dbaea"/>
        <s v="143a9aff-659b-4105-8b80-f288446f64dd"/>
        <s v="1725d2c7-1eb2-47b8-9a3c-45ca43d78f2b"/>
        <s v="a757075b-d47f-43b1-bc69-c1551a37f6bd"/>
        <s v="143df5b3-a58e-43dd-948c-1d84340de049"/>
        <s v="1a2bd69c-450f-49ee-82e7-9a985c238d8d"/>
        <s v="87365a84-725e-434d-8687-9aa914f573d0"/>
        <s v="63be441d-bd5a-4c9e-a77e-b0aaa247541d"/>
        <s v="dfdf0e05-c0ce-431b-9038-e153c601818b"/>
        <s v="3db0174e-7938-478a-89b5-aab0c12169db"/>
        <s v="b27e1442-fd7f-4973-be42-df5b90a3fbbf"/>
        <s v="654c11d9-f2e6-4828-81bb-819c4dfe1117"/>
        <s v="4459bd6e-c0f6-4229-b25d-42593c4b1eec"/>
        <s v="57d3f4dd-d963-4c72-85c8-234b1d763a66"/>
        <s v="d3fbe043-af1d-4a1a-8ccb-235539d1c7ff"/>
        <s v="cd8563ca-193e-438d-b74c-0afa7f4d908c"/>
        <s v="bd90b81a-fbe0-46b8-ae0f-65a82a131c1f"/>
        <s v="b8168aeb-ac6a-4c85-b687-6c624c61845e"/>
        <s v="a505da9c-46e7-4a2c-bf6e-ed9d23cbe943"/>
        <s v="95fbe976-ae00-4b7e-af8c-83e56e8d9644"/>
        <s v="b88cddde-3f20-46c2-b1b8-8d65406f64d6"/>
        <s v="55c3b2db-f374-490d-8274-ce40e09016b6"/>
        <s v="2f1dc121-7d02-4c6d-8bea-75c1b86677aa"/>
        <s v="fb4fb88a-2f4d-4219-986b-2880ab545a15"/>
        <s v="c1bcbe59-d296-412d-8ac3-5ac45deaa737"/>
        <s v="5f90fc87-2edc-417e-9df0-5d184e2d6255"/>
        <s v="23d4526b-2b54-4f7a-9a28-37b2cb8383f2"/>
        <s v="c92e8c93-d105-48d6-87c1-c01760452909"/>
        <s v="85671b58-926b-4fa5-be24-5fbffa698cd2"/>
        <s v="9033da65-87cf-43fd-9183-6c4f249204c7"/>
        <s v="82c299f0-7487-4772-bf03-86fa13badc91"/>
        <s v="e4eb8000-ef40-4162-8f6c-e9bffe7ee362"/>
        <s v="247296a4-ff38-4918-b8f9-a45d0f554896"/>
        <s v="9cbf7b8c-7410-4d5d-9db1-4bfc6f3a5115"/>
        <s v="566a9ce7-af52-4b94-b186-e47aa7946320"/>
        <s v="2ace1aa9-1032-46b3-a55b-fc1c7e3d5ee4"/>
        <s v="afa28559-67c9-4204-a8e3-33b64e8adc4b"/>
        <s v="c11bd1c4-ffe3-4366-bf33-7a151e086f20"/>
        <s v="9a72083c-b266-486c-b467-88bdd38e13e4"/>
        <s v="3bcdf203-459e-4674-b3e7-f042516c3b0a"/>
        <s v="4350ab06-1059-4a28-861b-4f5b45a08539"/>
        <s v="bf31c29f-82bb-4d84-b8d5-101f423cad9d"/>
        <s v="e61d9cde-1747-4387-bd23-d47995492a82"/>
        <s v="039b058c-2faa-4e0b-b7f6-0cdf41dc1c60"/>
        <s v="e1fff6c0-8347-41da-9c11-ab6d42f5b3f5"/>
        <s v="12af97e4-c536-466e-bcc4-091bf45707c6"/>
        <s v="bff15840-207e-463f-9f32-d5d82abe1585"/>
        <s v="d5b6de85-3902-49d9-ba8d-ae42ba54e920"/>
        <s v="a5f60735-757b-4b29-bb2a-a1462999394c"/>
        <s v="eb7e2e64-26c0-447e-bf8e-8bfaa0c9da72"/>
        <s v="a0a5fde6-939f-41a2-b99c-ea5cb65ad0f1"/>
        <s v="2cf72140-bd9b-4648-a876-1e85bddfa03a"/>
        <s v="ec2e2815-0a32-47d2-b73a-edf8431e930f"/>
        <s v="c7de96ea-2b0f-4e44-89e6-4c2289a0b7eb"/>
        <s v="1a16998c-7648-476e-983f-ea703ff6579e"/>
        <s v="8cf6e8b8-7fd2-48c3-bee8-2983d5574241"/>
        <s v="3a9c4308-1221-4ddf-ba4a-902f21d63b0f"/>
        <s v="8409c5ea-cde9-48b3-b922-a7e42de982f8"/>
        <s v="6231ee73-42c2-42eb-81bf-9e733f800385"/>
        <s v="4de1087b-afa1-4a55-8ebe-abaa28597b34"/>
        <s v="adf75924-c5b8-486b-b68b-4f7e64215e66"/>
        <s v="1d8680cb-b908-40f3-ac93-281a92ebeab0"/>
        <s v="8468b74d-85e3-4de5-98c1-aad6f3f8dea4"/>
        <s v="ff45f8a2-0594-424f-9332-5c31d010318a"/>
        <s v="c3f725fe-b99b-4b5a-a00d-a49deffa2002"/>
        <s v="d35ac07a-aa02-47d0-8d4f-8b2b899ac252"/>
        <s v="a383889a-db2c-4ac8-9c67-83932ced3c0d"/>
        <s v="a518a418-6f14-43f6-9867-888b7ff6b824"/>
        <s v="d226a8b3-b674-410d-9218-c9d6c093bfb0"/>
        <s v="36fce0ac-b469-4db3-8123-a348638abdf6"/>
        <s v="b60e695c-1759-4a96-a5f8-8c7453ea4919"/>
        <s v="bf7655d7-f97c-4c3c-b55d-814b5f5ba255"/>
        <s v="bd5609c4-a446-4663-b93b-17fbf76d15fd"/>
        <s v="a301ec03-0e5d-4c6a-b9db-78628d7dd772"/>
        <s v="21761930-f6d7-4248-a995-ecc36f5b09a6"/>
        <s v="aa1d3fc6-5f31-473d-9519-830c40198303"/>
        <s v="0bb401e7-69f7-43f1-901b-a8515ee68495"/>
        <s v="ead08c89-13fe-4a29-9c9d-eee0b42a0456"/>
        <s v="b139c476-de3c-488b-a6b9-d31a361f6d90"/>
        <s v="7f14eafa-29f0-4f7c-82e7-df89b3957a98"/>
        <s v="e5110961-1869-4217-b94d-8fcbdba3496f"/>
        <s v="cf133b65-d450-4fa2-98e7-0aebe7b33085"/>
        <s v="78946a15-c342-41db-ac3a-acdcaed54a46"/>
        <s v="536d47d7-3e0f-44ce-882f-78fd936cd31c"/>
        <s v="d3748a11-4571-4959-91e7-44e4b864ca08"/>
        <s v="dd92dd7c-0db9-47a9-9e91-a71c7374ccbf"/>
        <s v="21f8072d-ddb7-470e-b390-b059207bbe21"/>
        <s v="f96c9a0a-3404-402a-abc1-bb5282e4dd4a"/>
        <s v="a4a5c736-ae59-4a52-a65b-e22bd5a386d9"/>
        <s v="e0688849-eec7-4a30-9fda-35b228b2bf21"/>
        <s v="5c457e4d-a793-43b8-97e5-2113462623be"/>
        <s v="ac0f6801-15b2-4e1d-9715-46339d4edb71"/>
        <s v="c8ad0899-b630-494d-a147-adeb277b0667"/>
        <s v="78d9a88a-ef0b-4a4f-bc73-7d9211ab3d11"/>
        <s v="5efeef4f-d8dd-4bc0-b325-3aa3ec170298"/>
        <s v="4d8670bd-a222-4f96-a3a1-3e207fd255ee"/>
        <s v="1e910f36-5f70-4b25-9250-2e5913f06822"/>
        <s v="a3fa4069-1519-4d38-a6fb-a71db3a9dcaa"/>
        <s v="5a9c0679-2c3d-47e2-ad39-da75aee70ab2"/>
        <s v="04022b3c-5082-41a5-99b5-9f84edc3a1c3"/>
        <s v="af36b8cc-1308-4974-ac95-b3ac0beb7c34"/>
        <s v="6e54ac6d-2ff8-487e-9659-1c8921ebfaa9"/>
        <s v="dc3bbdd8-a74e-42a9-a20b-9ea98a0f9508"/>
        <s v="41241bb4-655c-4508-8592-bfa5b928e23f"/>
        <s v="7688d11f-ce47-48be-a4f4-3c62b523c0de"/>
        <s v="a72f947d-8164-42cb-8fc3-d7d3f6bd80c7"/>
        <s v="929ecc92-4a11-4e44-8aea-1b8fb43cde0a"/>
        <s v="657046ea-5b11-451f-b7e9-101d3f8b4433"/>
        <s v="b4299924-c098-4750-8741-9b4834ae4abd"/>
        <s v="c5acc354-15f0-4cb4-a14c-721da921cb4c"/>
        <s v="a0b85755-44ca-45a2-a1e5-18a293d228d4"/>
        <s v="b06b0f0c-9682-4e22-bcd4-344fcf8a368e"/>
        <s v="efad49e9-c41c-447e-9d6b-9b626b535a19"/>
        <s v="e5449887-b36a-43ed-a9be-173a850ef0ad"/>
        <s v="2332a50e-6992-496e-81a2-5ed1c3abb5f1"/>
        <s v="b00ac64c-949c-48d4-8ed8-a80d84cfee39"/>
        <s v="2b64777c-6177-4771-af70-de702b69c95e"/>
        <s v="63725424-82c5-4b21-a430-12dab1850eb8"/>
        <s v="8a89b0f0-1052-41d3-b34c-6c7358330b30"/>
        <s v="9112fbc0-3d8f-45f4-905f-9096299656e2"/>
        <s v="608e2f5c-6117-4270-a7c0-518b17efa621"/>
        <s v="cc39b925-3b5a-4288-b649-2e64f55dce6d"/>
        <s v="89718eea-df3a-498a-8cac-2fb51a0c6c04"/>
        <s v="6e3a0ba8-ac8d-4c7d-b2a6-e468d02b1243"/>
        <s v="1ee89a4c-6811-44e2-9064-7c59774f6354"/>
        <s v="775c30b5-6173-4c48-8876-9153c68813fe"/>
        <s v="ecb4678c-1612-4aa6-be96-39ba0ed2ec9d"/>
        <s v="d2d33488-d0c3-4018-ae3c-dd4f55b145e4"/>
        <s v="1be5a4c3-95af-4d0c-8528-5425c7a9f33c"/>
        <s v="3889936a-9d58-47e8-9e17-5b664b87959f"/>
        <s v="bc20b9f2-4a9c-489e-91b3-0182f7fe604f"/>
        <s v="176de21f-1b46-4bdc-9c56-d9bc5111d31d"/>
        <s v="59fe3d53-624f-4a4b-bae1-e13796ee50e5"/>
        <s v="61fa8e7a-078c-46ce-bf02-23bc651ea252"/>
        <s v="70b27304-545c-488d-9cb9-075ecdd7f460"/>
        <s v="b8d49848-702b-449f-98fd-d2b979e5c9aa"/>
        <s v="6c6f6d2e-6a59-4043-8461-52348044beb2"/>
        <s v="88cc4d49-669b-49b8-950d-f1a07aaf2001"/>
        <s v="9ea9f508-3122-4592-bdb0-2235261e2555"/>
        <s v="0ff1c51f-915c-431b-9786-7b1213281726"/>
        <s v="b5f59cb0-cf68-4878-8b70-59334cde1b6b"/>
        <s v="52a74a41-44be-4486-bea5-a387363be5cb"/>
        <s v="c534ca08-f6f2-4d1c-9bb8-b9c8893259f3"/>
        <s v="71a0449d-d703-462f-b5cb-e3f56a66c184"/>
        <s v="c5c51060-9911-41e7-93d5-63ae51a3ac26"/>
        <s v="f610396b-7df5-4abf-ab79-0d013cf88d20"/>
        <s v="1edf3bfa-d12e-4eb5-97f4-79b5b212a6ee"/>
        <s v="b852b3cd-9442-45e6-9583-1d58ef4c5119"/>
        <s v="6d84414d-f541-41ea-bde9-1c42002c4c22"/>
        <s v="fdab3441-d2c2-4960-8b09-01abc66dceb3"/>
        <s v="a520c3d0-fbcd-4f5e-902f-34650b570720"/>
        <s v="6cd6f011-fd61-413b-b7f2-5d368bddcee3"/>
        <s v="2fb70dab-2f38-4b43-a137-f8e467b13040"/>
        <s v="5fc64cd0-721e-4b1f-b895-89399342a09f"/>
        <s v="74de5f70-70f8-4dba-a871-9b9bdb8f0e32"/>
        <s v="ba2aa7ba-f3f8-4c31-86e3-f9498cd34c62"/>
        <s v="193e4783-02b3-4254-9b1f-2eb16e3255a8"/>
        <s v="c8c5eb2a-7490-4deb-97d3-37d34fd80bbb"/>
        <s v="8cd4b90a-bf82-41bc-8e52-fc4273c374a6"/>
        <s v="8da5d39b-42c2-4797-8426-fcc9255b30e2"/>
        <s v="7de1bf5d-af48-47f0-a8bd-075b7eb6581e"/>
        <s v="3db788a6-1cdc-44c2-a2c9-65b27eb0f62a"/>
        <s v="6082786f-ca00-4f58-ac52-1d13b719bb68"/>
        <s v="9c3a1e0b-b5f3-48aa-9c6d-afff59c2f153"/>
        <s v="3ea6e5b2-0c76-4d28-9f49-5037b40a9181"/>
        <s v="3b6dca0d-6fe5-440b-9901-ef870dbf0caf"/>
        <s v="15839b99-a50a-43dc-b004-e897a15b2e18"/>
        <s v="135508d0-73b5-4ad5-a00b-4b356a0aa7d5"/>
        <s v="601bfbcb-f0ee-4cce-8d93-e14a5b167158"/>
        <s v="3ad1fa33-0ae4-4c11-ab4d-8f42873570a2"/>
        <s v="eb4e2281-b184-41fc-8991-b01aa2b03c4b"/>
        <s v="86433603-c92a-4d7c-a193-5990abdd1a8f"/>
        <s v="937bf79b-bb44-4adc-aa98-fef8d0d75e37"/>
        <s v="3d175712-d8b2-4277-b413-db19bade8d5d"/>
        <s v="951c25d5-4d4c-4280-9462-52e7f43ba052"/>
        <s v="ac484366-68bd-40d7-8b88-1c32cbb02a8b"/>
        <s v="143ac1c5-4f56-4ed5-9566-9e364708203b"/>
        <s v="53853918-bc40-45fa-94f7-6322b362c0d2"/>
        <s v="4499d0a6-1500-4170-92d1-5585b68e47fa"/>
        <s v="271610c1-9db5-4283-89a3-c811895c4fde"/>
        <s v="3579c143-7ab9-4428-b78e-65108f10d33e"/>
        <s v="7c0f549d-0274-4f73-b3ab-ea0d5be9fdb3"/>
        <s v="3c7e5368-b159-4847-9c0b-9b10a757cb10"/>
        <s v="e4eec67c-1a57-49e4-85f8-e2f8414f4994"/>
        <s v="bba1aed9-44cd-4fdd-9f9b-141ec7f7bda1"/>
        <s v="44945e09-1d3c-45a4-929d-63771cfb655f"/>
        <s v="637ddcd6-98d3-448b-903b-4078a39c9ec6"/>
        <s v="8aa2b4c9-3ba5-4d76-861e-fb9568f82063"/>
        <s v="65f30779-f6ee-4cdb-ad79-a2d1506e50c7"/>
        <s v="32b8d8aa-2176-4dd7-b8e7-e019fb8986c8"/>
        <s v="a43afb7a-c40d-4874-a2ab-7752c4db5a62"/>
        <s v="6de8370a-ce9e-4ebd-95c3-48530783e43c"/>
        <s v="862138ad-0f09-405c-b50d-7a37a44d9fec"/>
        <s v="b66edbf4-a0ea-4251-8957-43a281b13b80"/>
        <s v="f0cd7f05-ea87-455e-a382-95d31e0ef546"/>
        <s v="ad5229dd-639f-4471-9975-0f00d5aba8ae"/>
        <s v="9cd8758b-a5a1-4825-aa95-28c35ae1dbad"/>
        <s v="ff4cc10f-979c-40cf-b326-1887905881df"/>
        <s v="327375bf-5373-4f4d-9da4-9cb92fdc9992"/>
        <s v="c5c5ae8a-be15-4d12-90ce-77e9751303b9"/>
        <s v="1f873b46-c0a0-473a-a3d7-e6a119b814fc"/>
        <s v="afb06406-5f4b-4a97-a68c-879bd2dc42c8"/>
        <s v="a55f65b7-e709-4ba6-b29f-c41710813d45"/>
        <s v="b98f5dbe-15ae-4e0f-8777-a07f6346d4ef"/>
        <s v="152aeaec-2bdf-4b41-b3ed-a8f1026b5383"/>
        <s v="614077d3-9ec4-4a48-9773-f98d550c2fe9"/>
        <s v="d908a121-d1a7-4a20-91b4-61e9b15da72d"/>
        <s v="1413d64d-b962-48a7-b076-a7dcfd0ce433"/>
        <s v="fc568b53-24ac-4722-a052-77394d406f1b"/>
        <s v="e8cee951-b047-4ea4-bee5-ce6933cb202e"/>
        <s v="e42e707a-fe2b-4987-9fdc-abbf6b9cd71c"/>
        <s v="9912316a-fd9e-4e20-b2f6-095812ef6101"/>
        <s v="e65fad87-c57c-4498-9e38-f711e2ec13f4"/>
        <s v="45667c48-79ba-430a-9118-c400e336c243"/>
        <s v="588a3f87-f96d-40f8-bed6-3da08033f5c2"/>
        <s v="35ab8466-b557-4b00-b166-cdcf762cdfbc"/>
        <s v="669d01ff-1634-425b-93f3-007383e96ef4"/>
        <s v="7d1645a0-d253-4966-836b-9a0a41e02a89"/>
        <s v="91ddb9bf-613d-4de9-bae2-802354720d2d"/>
        <s v="3ca5be29-5217-4bf3-9181-83d1ac2b0cfc"/>
        <s v="317304b5-c1dd-484a-aca5-8d95915a1c30"/>
        <s v="4c80d33a-ad5b-43c8-8c88-0714837217e0"/>
        <s v="99db1302-8dab-46d3-bf87-dfc2159152f2"/>
        <s v="ec93e596-2b01-4723-8cf6-97a57603c36c"/>
        <s v="ddb449dc-7710-4966-a082-7f7611a529b4"/>
        <s v="1132567c-51a4-4d2a-b3d3-9457b25f13df"/>
        <s v="28457780-5e20-4957-aab8-bd33911f730b"/>
        <s v="d0afb235-ade6-4f51-a670-93a0fc48f615"/>
        <s v="69ef74e3-4ab6-421c-8328-c136629ef3d8"/>
        <s v="c9912032-df85-4777-9887-4bfec1369c65"/>
        <s v="753659ef-d873-4ad9-9a1b-af0e591196dc"/>
        <s v="d3293724-6dfd-471a-b7d7-465d37c3b3c9"/>
        <s v="6243bed7-54ec-4f33-8a62-4cbde582b678"/>
        <s v="84fa4c72-39e7-44f1-97fb-613a21f89d06"/>
        <s v="6d7df5d0-d3b5-4af7-a7ce-378fe5a4983b"/>
        <s v="b0b6dedf-4f9c-4027-8514-4d98b41c504f"/>
        <s v="d42a895e-0fcf-401f-9cb9-b73a906d5c8c"/>
        <s v="6c776e95-0b98-4ccd-92b2-102d940c3503"/>
        <s v="fe2b34d8-2db0-428d-9e5e-be5459077299"/>
        <s v="980cb95c-19d4-4deb-9139-fa1234c1c3ea"/>
        <s v="8e85140d-0f9a-4b70-8670-7cd64ceda164"/>
        <s v="87ad8b26-8eaa-4841-aaa0-426df7c0d5f7"/>
        <s v="bdd151b0-f64a-46ec-b0a5-648eefe9b3d0"/>
        <s v="bdc2b74b-38a5-4b49-9d34-aa1890019ed4"/>
        <s v="fd85d7fa-8ac9-4b01-a3ad-64d4eab9eb02"/>
        <s v="892621df-4655-48b7-b8e1-9f568787ea21"/>
        <s v="081c79d4-c274-47eb-a65f-7b8adbb44021"/>
        <s v="9879cf35-f471-4986-9d26-4599c4dd8df5"/>
        <s v="71da35b9-4eea-4db8-b165-d77901547950"/>
        <s v="44b64ec1-4d16-4049-84d7-df9a238b05b7"/>
        <s v="9a6c0db9-5217-4c88-8ce9-53a722d90db3"/>
        <s v="d4cee27c-4a94-4e9f-8c35-1e4f703e957f"/>
        <s v="1bffa279-15c1-404f-aa16-3354a35fc9c1"/>
        <s v="7b96e2d1-0649-4cf6-bf69-723d584fc85b"/>
        <s v="8d49fe3f-2ca8-4783-8418-2d353e711433"/>
        <s v="abb316a7-4329-4780-9d2c-272175220646"/>
        <s v="7c966b55-2f8d-4ded-ac4c-450b623ad0fc"/>
        <s v="38749f3c-c2d4-4b56-8bbe-d98007e67cb0"/>
        <s v="4347dbca-7321-48b2-8840-405affd2f491"/>
        <s v="83b0b35c-dba6-4df8-b3d0-4ffb44709848"/>
        <s v="0bc2ea72-0c64-4ca2-8323-1466aebbb90e"/>
        <s v="6de21429-3bf0-49c1-8156-e501b30e96e8"/>
        <s v="ad58db1b-fe31-437a-a43e-558c2215df00"/>
        <s v="48f091f0-9b8b-48ae-b89f-3a92999a1d86"/>
        <s v="8bde005b-5d8b-4bd7-abbd-b66f91816091"/>
        <s v="53a5e850-8950-4dd6-a7c6-cbb1cedd069d"/>
        <s v="425e0259-b884-46d2-928f-cf68c871d7b3"/>
        <s v="00a85473-8242-4912-bda3-c1623a78b64a"/>
        <s v="66a302d6-f43e-4c48-8bc1-f9e5fb3df063"/>
        <s v="b186a5a8-d6ee-426b-a2cd-159058af393c"/>
        <s v="64f434d6-d1e9-4691-a320-9116222df6a4"/>
        <s v="769de1e3-4eed-4124-b3b0-d6763527a5c8"/>
        <s v="1f178f93-23c9-4a1e-8b37-1d97cdcc2d6a"/>
        <s v="edaf3766-1b78-4ede-9a4f-fc0c9165f2ed"/>
        <s v="2697384d-801e-4690-b0c0-7fcc96add4df"/>
        <s v="7580e050-67f1-498c-b594-8a545f804eeb"/>
        <s v="185df528-b425-4e19-9758-d47ea7cde143"/>
        <s v="4d470ed6-a666-4769-a1d4-6f8221c50e41"/>
        <s v="c0062b5b-f678-49b2-a2b5-f4571860ad28"/>
        <s v="6df72cd3-979a-4051-b317-591a3283daa4"/>
        <s v="77242041-1e43-4bd2-aaf4-07f70fe76149"/>
        <s v="fa323f69-90db-4ad6-94ce-26bec8cce2c2"/>
        <s v="69df14e9-3896-41dd-8570-b59fa903ae67"/>
        <s v="368acd40-b8f1-4e3c-99e7-703a70aa5b0d"/>
        <s v="ca840003-5083-4fef-adec-6bbdf69777a1"/>
        <s v="714011a1-afc2-4cfc-9db7-284b6965d1d1"/>
        <s v="b787ef8d-3495-411e-ae27-d4321dc1e7eb"/>
        <s v="4ee4334e-ce92-4136-ac3a-812f765e6cb5"/>
        <s v="178be968-20f8-4ba2-8f2e-32967184b713"/>
        <s v="5e472e22-76c3-4642-be19-fc1d9f6a6a65"/>
        <s v="b6ca1127-e9f8-4970-8d98-f9e28d888beb"/>
        <s v="c1e1b94a-7888-4058-a9ad-0e9b8c9aa1e9"/>
        <s v="0c6b7074-ab10-4c9b-9168-2e09f1f7d904"/>
        <s v="cdfd9531-302b-4831-92a1-fe7ddfa59722"/>
        <s v="ce532ffd-bb13-4f02-96de-66c96210def6"/>
        <s v="ea75752d-6a8f-4acb-bf8e-2d0d52619dec"/>
        <s v="148b4376-602a-4e57-a0a3-99d4e821e716"/>
        <s v="64988bde-cd02-44db-ad11-15d750a46c85"/>
        <s v="abe42e7d-b96c-4163-966b-e275c2fe8954"/>
        <s v="6589ada1-345a-4934-b42a-2d939aba0f15"/>
        <s v="35ba9357-3ca8-4f31-8fd7-f3b9c68fcba5"/>
        <s v="fe2390f3-e7bb-4efc-8f3d-c97fe6b0da0a"/>
        <s v="0b3d0c36-17d0-4810-87a2-a10bb62edb49"/>
        <s v="0d7bec04-e6e5-4b32-ac5f-12ef8085c147"/>
        <s v="0316d2d6-fa4a-48ef-a383-7348873dc8bd"/>
        <s v="9aec56a8-5731-4609-9375-ee90d6b361e4"/>
        <s v="116658ce-3b3f-4800-a175-a9c3d7b102a9"/>
        <s v="7316ce64-2a14-4a96-9b0c-62eb27c8fc6c"/>
        <s v="dbff00b0-7fe6-40f3-8e31-41ec5c311464"/>
        <s v="22d839d3-33e4-4986-b18c-ccdc131eb723"/>
        <s v="7aa061e9-336b-40cb-b1fe-ad13f280df1d"/>
        <s v="b9da5f8c-4e35-4a80-a027-9a186576a410"/>
        <s v="fbad793f-87a1-4c02-b487-9e411a9c672a"/>
        <s v="624a2a50-d0b1-4de0-b1f3-f0c022f3f068"/>
        <s v="4b86b5a1-ca6f-4ff8-964c-fbd2bc92fd81"/>
        <s v="bd54da04-4dcd-4009-88d5-77179055a36f"/>
        <s v="5e1885c3-5037-4d6b-9a6b-6a7d1a38aad6"/>
        <s v="3f175534-cc4d-4819-8b9d-fd589e5d9c7a"/>
        <s v="2c82989f-fd9c-4bb0-91f1-6485429a4a7c"/>
        <s v="608e149e-44b9-4602-8d31-812e30c36756"/>
        <s v="6449cb6f-bf72-4e52-b04b-237082701238"/>
        <s v="82c42e48-8cba-4ae5-becc-daf4c4134dc2"/>
        <s v="b39e4df2-5c0a-4feb-b7ea-e66eca6caf9b"/>
        <s v="c11f6bf5-379e-4467-8a2d-b2e63bfda8a6"/>
        <s v="de70bd30-00a2-4367-94fb-09f053c93ae7"/>
        <s v="c8a738ab-0df8-4e12-a56b-61e04ba8a4ca"/>
        <s v="2a038ad4-a667-4982-9c3d-e1b0022b6683"/>
        <s v="37c86152-beed-4af9-80c5-9f30d1031424"/>
        <s v="1d3e503a-9645-40e4-a47d-c3929c7eb575"/>
        <s v="f6ba745b-a558-41e3-bab2-b77dfa740cc8"/>
        <s v="164484a0-d115-4fff-9cb9-1d5f593c572b"/>
        <s v="cbd5cc86-f739-46e9-94e3-8579c0afd193"/>
        <s v="52555c75-8d55-419e-bd44-cb2cea45ba41"/>
        <s v="da385db5-90ee-4067-a16e-9fe593f37596"/>
        <s v="4d9dbaeb-553d-4625-a833-4da5de95d695"/>
        <s v="b2149062-3e1a-463e-aa18-d32c7a9a8ef5"/>
        <s v="3d131a3d-1e2c-4e7d-902c-f0ee224a66a6"/>
        <s v="93cd1291-1004-4d82-8bc7-2f1acf08ea54"/>
        <s v="4aa5f9d3-335f-4f59-9e71-7fca020a4497"/>
        <s v="33c08bf1-8167-499f-a723-ada38c32bdb2"/>
        <s v="0e3e25f2-cf06-41c7-b20b-274b82a7f586"/>
        <s v="0c00988a-7ee1-411a-8e4c-3ab56d5d0477"/>
        <s v="363908bf-03ec-48ff-a8b3-d763f4ff3f3a"/>
        <s v="090d9655-db84-4660-b5d8-fb91ee6081ac"/>
        <s v="98d00c2c-17d3-4f32-8de1-596c5a9a206a"/>
        <s v="d78c57d3-5088-40d3-afe5-b14023ea7956"/>
        <s v="5abca6e5-d0b1-43eb-809e-7a8086c5d1d6"/>
        <s v="7a6a2107-2231-4050-b515-94943818cfd3"/>
        <s v="863e1f2a-18a8-46ef-ab05-3fc41b656dab"/>
        <s v="d0437e4c-34e5-4699-88eb-e27a23a4e70e"/>
        <s v="d453f867-b97e-4224-891f-691217abb863"/>
        <s v="db4862c2-d5ff-4a1f-b70b-9a290a530df9"/>
        <s v="3bf2025f-4a0d-4b73-be54-ee4b80ff5173"/>
        <s v="592a3549-7ba1-49d0-8567-c80534f541c0"/>
        <s v="2775ee42-a89e-42f2-80af-bf3f3df51967"/>
        <s v="98cbaa52-47f5-4019-8843-8de259cf0b0d"/>
        <s v="51045a16-ef15-4b72-9c70-ee97fca45567"/>
        <s v="eb2ec80e-4c25-4823-8cf4-ffb0b4bba73f"/>
        <s v="398f569b-465c-42cb-885e-b4894ac66780"/>
        <s v="eba900e1-6a7d-4d96-8ba1-72331ac3bf31"/>
        <s v="d872f72e-e5b4-41ae-bb41-c943ebd8a3b1"/>
        <s v="d6321d31-c8ac-4fcf-a04d-4d14197dbae1"/>
        <s v="ee9bf3e1-1d27-409a-9d71-a89864976593"/>
        <s v="8c1c8b05-5677-4f36-8899-8e5fd40e53ce"/>
        <s v="3d4574eb-f465-4a21-8b35-097ae5dd98f1"/>
        <s v="eac80da1-de9f-4f5b-b2d3-545861ea2f30"/>
        <s v="ccd015c1-ad59-40dd-9bff-3142a5e15b55"/>
        <s v="538d6b8c-c607-41e9-b80b-2cea658e54a2"/>
        <s v="e346f415-e526-4a2b-ac50-ace480a52e65"/>
        <s v="1e0d02b5-fe74-42cd-9d83-ad037066e289"/>
        <s v="02106371-0260-4123-b1ef-e72aae13591e"/>
        <s v="75eb89c2-3f5c-42f3-bacb-43a3d2c7bffb"/>
        <s v="4f89e3b2-d847-4c53-8605-e58a48454343"/>
        <s v="03254fbd-dce8-41c5-9bd3-0aec0b461173"/>
        <s v="a7e8d18e-ddf6-44ac-86fe-acd4fe1393cd"/>
        <s v="ae2ae341-3f59-44f2-8309-3b6e37e9d2e2"/>
        <s v="d7f34368-c2ef-4ecb-bf5f-bf4fd4176230"/>
        <s v="d9d57b02-42d0-4d55-8aab-47b23c9d128a"/>
        <s v="340029c3-ea11-405b-91fa-cefad6f89f7a"/>
        <s v="e4e751de-57ff-41d9-89ce-44bd7c3f1add"/>
        <s v="dff389aa-4c36-470c-bf5e-3b8cc0582da5"/>
        <s v="2099d180-8762-4997-a49f-7d888989c5ab"/>
        <s v="2de46e91-e8e6-4840-b090-f5a0ce610199"/>
        <s v="f7464c02-8718-44c1-bd4e-d26edcd5bfae"/>
        <s v="3d9c4e64-0401-4ced-a398-36bbe23ddfaa"/>
        <s v="a902b73f-cf39-4648-883f-64c31ce362f8"/>
        <s v="c7ecfe71-d493-47fc-8fc9-8d2e030f9be9"/>
        <s v="8163b6ce-1877-4c06-94ad-625215bc2a3e"/>
        <s v="6d268b37-8f52-42d3-94bb-bcf828fea761"/>
        <s v="98049562-8972-4bbd-8ff2-b1c4e53f9644"/>
        <s v="bc36dc59-e134-4dfc-9777-7f10f2d2393f"/>
        <s v="fd247c11-bf6b-4cdf-b479-7b6127372b52"/>
        <s v="b9744cde-d259-4960-aee3-560792ea1324"/>
      </sharedItems>
    </cacheField>
  </cacheFields>
  <extLst>
    <ext xmlns:x14="http://schemas.microsoft.com/office/spreadsheetml/2009/9/main" uri="{725AE2AE-9491-48be-B2B4-4EB974FC3084}">
      <x14:pivotCacheDefinition pivotCacheId="820601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x v="0"/>
    <x v="0"/>
    <x v="0"/>
    <x v="0"/>
    <x v="0"/>
    <x v="0"/>
    <x v="0"/>
    <x v="0"/>
    <x v="0"/>
    <x v="0"/>
    <x v="0"/>
  </r>
  <r>
    <x v="1"/>
    <x v="0"/>
    <x v="1"/>
    <x v="1"/>
    <x v="0"/>
    <x v="1"/>
    <x v="1"/>
    <x v="1"/>
    <x v="1"/>
    <x v="1"/>
    <x v="1"/>
    <x v="1"/>
  </r>
  <r>
    <x v="2"/>
    <x v="0"/>
    <x v="2"/>
    <x v="0"/>
    <x v="0"/>
    <x v="2"/>
    <x v="2"/>
    <x v="2"/>
    <x v="2"/>
    <x v="1"/>
    <x v="2"/>
    <x v="2"/>
  </r>
  <r>
    <x v="3"/>
    <x v="0"/>
    <x v="3"/>
    <x v="2"/>
    <x v="1"/>
    <x v="3"/>
    <x v="3"/>
    <x v="3"/>
    <x v="3"/>
    <x v="1"/>
    <x v="1"/>
    <x v="3"/>
  </r>
  <r>
    <x v="4"/>
    <x v="0"/>
    <x v="4"/>
    <x v="0"/>
    <x v="0"/>
    <x v="4"/>
    <x v="4"/>
    <x v="4"/>
    <x v="4"/>
    <x v="0"/>
    <x v="2"/>
    <x v="4"/>
  </r>
  <r>
    <x v="5"/>
    <x v="0"/>
    <x v="5"/>
    <x v="3"/>
    <x v="0"/>
    <x v="5"/>
    <x v="5"/>
    <x v="5"/>
    <x v="3"/>
    <x v="1"/>
    <x v="1"/>
    <x v="5"/>
  </r>
  <r>
    <x v="6"/>
    <x v="0"/>
    <x v="0"/>
    <x v="3"/>
    <x v="0"/>
    <x v="6"/>
    <x v="6"/>
    <x v="6"/>
    <x v="5"/>
    <x v="1"/>
    <x v="2"/>
    <x v="6"/>
  </r>
  <r>
    <x v="7"/>
    <x v="0"/>
    <x v="6"/>
    <x v="3"/>
    <x v="2"/>
    <x v="7"/>
    <x v="7"/>
    <x v="7"/>
    <x v="1"/>
    <x v="2"/>
    <x v="3"/>
    <x v="7"/>
  </r>
  <r>
    <x v="8"/>
    <x v="0"/>
    <x v="1"/>
    <x v="2"/>
    <x v="0"/>
    <x v="8"/>
    <x v="8"/>
    <x v="8"/>
    <x v="6"/>
    <x v="2"/>
    <x v="0"/>
    <x v="8"/>
  </r>
  <r>
    <x v="9"/>
    <x v="0"/>
    <x v="6"/>
    <x v="4"/>
    <x v="0"/>
    <x v="9"/>
    <x v="9"/>
    <x v="1"/>
    <x v="1"/>
    <x v="1"/>
    <x v="2"/>
    <x v="8"/>
  </r>
  <r>
    <x v="10"/>
    <x v="0"/>
    <x v="7"/>
    <x v="2"/>
    <x v="3"/>
    <x v="10"/>
    <x v="10"/>
    <x v="9"/>
    <x v="7"/>
    <x v="1"/>
    <x v="2"/>
    <x v="9"/>
  </r>
  <r>
    <x v="11"/>
    <x v="0"/>
    <x v="2"/>
    <x v="2"/>
    <x v="4"/>
    <x v="11"/>
    <x v="11"/>
    <x v="10"/>
    <x v="8"/>
    <x v="1"/>
    <x v="2"/>
    <x v="10"/>
  </r>
  <r>
    <x v="12"/>
    <x v="0"/>
    <x v="6"/>
    <x v="4"/>
    <x v="0"/>
    <x v="12"/>
    <x v="12"/>
    <x v="11"/>
    <x v="0"/>
    <x v="1"/>
    <x v="1"/>
    <x v="11"/>
  </r>
  <r>
    <x v="13"/>
    <x v="0"/>
    <x v="8"/>
    <x v="2"/>
    <x v="0"/>
    <x v="13"/>
    <x v="13"/>
    <x v="12"/>
    <x v="7"/>
    <x v="1"/>
    <x v="3"/>
    <x v="12"/>
  </r>
  <r>
    <x v="14"/>
    <x v="0"/>
    <x v="5"/>
    <x v="0"/>
    <x v="0"/>
    <x v="14"/>
    <x v="14"/>
    <x v="13"/>
    <x v="9"/>
    <x v="2"/>
    <x v="0"/>
    <x v="13"/>
  </r>
  <r>
    <x v="15"/>
    <x v="0"/>
    <x v="0"/>
    <x v="1"/>
    <x v="0"/>
    <x v="15"/>
    <x v="15"/>
    <x v="14"/>
    <x v="6"/>
    <x v="1"/>
    <x v="1"/>
    <x v="14"/>
  </r>
  <r>
    <x v="16"/>
    <x v="0"/>
    <x v="2"/>
    <x v="3"/>
    <x v="5"/>
    <x v="7"/>
    <x v="16"/>
    <x v="10"/>
    <x v="8"/>
    <x v="1"/>
    <x v="1"/>
    <x v="15"/>
  </r>
  <r>
    <x v="17"/>
    <x v="0"/>
    <x v="1"/>
    <x v="3"/>
    <x v="0"/>
    <x v="16"/>
    <x v="17"/>
    <x v="15"/>
    <x v="7"/>
    <x v="0"/>
    <x v="1"/>
    <x v="16"/>
  </r>
  <r>
    <x v="18"/>
    <x v="0"/>
    <x v="9"/>
    <x v="5"/>
    <x v="6"/>
    <x v="17"/>
    <x v="18"/>
    <x v="16"/>
    <x v="10"/>
    <x v="2"/>
    <x v="0"/>
    <x v="17"/>
  </r>
  <r>
    <x v="19"/>
    <x v="0"/>
    <x v="10"/>
    <x v="6"/>
    <x v="7"/>
    <x v="18"/>
    <x v="19"/>
    <x v="17"/>
    <x v="2"/>
    <x v="0"/>
    <x v="0"/>
    <x v="18"/>
  </r>
  <r>
    <x v="20"/>
    <x v="0"/>
    <x v="8"/>
    <x v="0"/>
    <x v="0"/>
    <x v="19"/>
    <x v="20"/>
    <x v="18"/>
    <x v="4"/>
    <x v="2"/>
    <x v="2"/>
    <x v="19"/>
  </r>
  <r>
    <x v="21"/>
    <x v="0"/>
    <x v="6"/>
    <x v="3"/>
    <x v="0"/>
    <x v="20"/>
    <x v="21"/>
    <x v="19"/>
    <x v="8"/>
    <x v="1"/>
    <x v="1"/>
    <x v="20"/>
  </r>
  <r>
    <x v="22"/>
    <x v="0"/>
    <x v="2"/>
    <x v="5"/>
    <x v="0"/>
    <x v="7"/>
    <x v="22"/>
    <x v="20"/>
    <x v="7"/>
    <x v="0"/>
    <x v="3"/>
    <x v="21"/>
  </r>
  <r>
    <x v="23"/>
    <x v="0"/>
    <x v="9"/>
    <x v="4"/>
    <x v="0"/>
    <x v="21"/>
    <x v="23"/>
    <x v="21"/>
    <x v="11"/>
    <x v="1"/>
    <x v="1"/>
    <x v="22"/>
  </r>
  <r>
    <x v="24"/>
    <x v="0"/>
    <x v="11"/>
    <x v="5"/>
    <x v="8"/>
    <x v="22"/>
    <x v="24"/>
    <x v="22"/>
    <x v="9"/>
    <x v="1"/>
    <x v="1"/>
    <x v="23"/>
  </r>
  <r>
    <x v="25"/>
    <x v="0"/>
    <x v="12"/>
    <x v="0"/>
    <x v="0"/>
    <x v="23"/>
    <x v="25"/>
    <x v="23"/>
    <x v="6"/>
    <x v="2"/>
    <x v="3"/>
    <x v="24"/>
  </r>
  <r>
    <x v="26"/>
    <x v="0"/>
    <x v="2"/>
    <x v="4"/>
    <x v="0"/>
    <x v="24"/>
    <x v="26"/>
    <x v="24"/>
    <x v="7"/>
    <x v="0"/>
    <x v="1"/>
    <x v="25"/>
  </r>
  <r>
    <x v="27"/>
    <x v="0"/>
    <x v="3"/>
    <x v="7"/>
    <x v="9"/>
    <x v="25"/>
    <x v="27"/>
    <x v="2"/>
    <x v="2"/>
    <x v="1"/>
    <x v="0"/>
    <x v="26"/>
  </r>
  <r>
    <x v="28"/>
    <x v="0"/>
    <x v="13"/>
    <x v="7"/>
    <x v="10"/>
    <x v="26"/>
    <x v="28"/>
    <x v="25"/>
    <x v="7"/>
    <x v="1"/>
    <x v="1"/>
    <x v="27"/>
  </r>
  <r>
    <x v="29"/>
    <x v="0"/>
    <x v="6"/>
    <x v="2"/>
    <x v="0"/>
    <x v="27"/>
    <x v="29"/>
    <x v="26"/>
    <x v="3"/>
    <x v="1"/>
    <x v="0"/>
    <x v="28"/>
  </r>
  <r>
    <x v="30"/>
    <x v="0"/>
    <x v="12"/>
    <x v="0"/>
    <x v="0"/>
    <x v="7"/>
    <x v="22"/>
    <x v="27"/>
    <x v="10"/>
    <x v="2"/>
    <x v="1"/>
    <x v="8"/>
  </r>
  <r>
    <x v="31"/>
    <x v="0"/>
    <x v="9"/>
    <x v="7"/>
    <x v="0"/>
    <x v="28"/>
    <x v="30"/>
    <x v="28"/>
    <x v="8"/>
    <x v="1"/>
    <x v="1"/>
    <x v="29"/>
  </r>
  <r>
    <x v="32"/>
    <x v="0"/>
    <x v="6"/>
    <x v="0"/>
    <x v="0"/>
    <x v="29"/>
    <x v="31"/>
    <x v="29"/>
    <x v="4"/>
    <x v="1"/>
    <x v="1"/>
    <x v="30"/>
  </r>
  <r>
    <x v="33"/>
    <x v="0"/>
    <x v="14"/>
    <x v="5"/>
    <x v="0"/>
    <x v="30"/>
    <x v="32"/>
    <x v="30"/>
    <x v="5"/>
    <x v="1"/>
    <x v="3"/>
    <x v="31"/>
  </r>
  <r>
    <x v="34"/>
    <x v="0"/>
    <x v="10"/>
    <x v="4"/>
    <x v="0"/>
    <x v="31"/>
    <x v="33"/>
    <x v="31"/>
    <x v="2"/>
    <x v="0"/>
    <x v="1"/>
    <x v="32"/>
  </r>
  <r>
    <x v="35"/>
    <x v="0"/>
    <x v="11"/>
    <x v="6"/>
    <x v="0"/>
    <x v="32"/>
    <x v="34"/>
    <x v="32"/>
    <x v="9"/>
    <x v="1"/>
    <x v="1"/>
    <x v="33"/>
  </r>
  <r>
    <x v="36"/>
    <x v="0"/>
    <x v="15"/>
    <x v="0"/>
    <x v="5"/>
    <x v="33"/>
    <x v="35"/>
    <x v="33"/>
    <x v="5"/>
    <x v="1"/>
    <x v="1"/>
    <x v="34"/>
  </r>
  <r>
    <x v="37"/>
    <x v="0"/>
    <x v="14"/>
    <x v="3"/>
    <x v="0"/>
    <x v="7"/>
    <x v="22"/>
    <x v="34"/>
    <x v="3"/>
    <x v="0"/>
    <x v="1"/>
    <x v="35"/>
  </r>
  <r>
    <x v="38"/>
    <x v="0"/>
    <x v="5"/>
    <x v="5"/>
    <x v="11"/>
    <x v="34"/>
    <x v="36"/>
    <x v="35"/>
    <x v="6"/>
    <x v="1"/>
    <x v="2"/>
    <x v="36"/>
  </r>
  <r>
    <x v="39"/>
    <x v="0"/>
    <x v="7"/>
    <x v="0"/>
    <x v="0"/>
    <x v="35"/>
    <x v="37"/>
    <x v="36"/>
    <x v="6"/>
    <x v="1"/>
    <x v="2"/>
    <x v="37"/>
  </r>
  <r>
    <x v="40"/>
    <x v="0"/>
    <x v="10"/>
    <x v="0"/>
    <x v="12"/>
    <x v="7"/>
    <x v="38"/>
    <x v="37"/>
    <x v="2"/>
    <x v="1"/>
    <x v="2"/>
    <x v="38"/>
  </r>
  <r>
    <x v="41"/>
    <x v="0"/>
    <x v="10"/>
    <x v="1"/>
    <x v="13"/>
    <x v="36"/>
    <x v="39"/>
    <x v="38"/>
    <x v="3"/>
    <x v="1"/>
    <x v="1"/>
    <x v="39"/>
  </r>
  <r>
    <x v="42"/>
    <x v="0"/>
    <x v="0"/>
    <x v="1"/>
    <x v="0"/>
    <x v="37"/>
    <x v="40"/>
    <x v="39"/>
    <x v="7"/>
    <x v="1"/>
    <x v="1"/>
    <x v="40"/>
  </r>
  <r>
    <x v="43"/>
    <x v="0"/>
    <x v="8"/>
    <x v="4"/>
    <x v="14"/>
    <x v="38"/>
    <x v="41"/>
    <x v="40"/>
    <x v="4"/>
    <x v="0"/>
    <x v="3"/>
    <x v="41"/>
  </r>
  <r>
    <x v="44"/>
    <x v="0"/>
    <x v="16"/>
    <x v="0"/>
    <x v="15"/>
    <x v="39"/>
    <x v="42"/>
    <x v="41"/>
    <x v="1"/>
    <x v="0"/>
    <x v="2"/>
    <x v="42"/>
  </r>
  <r>
    <x v="45"/>
    <x v="0"/>
    <x v="15"/>
    <x v="2"/>
    <x v="16"/>
    <x v="40"/>
    <x v="43"/>
    <x v="42"/>
    <x v="7"/>
    <x v="1"/>
    <x v="1"/>
    <x v="43"/>
  </r>
  <r>
    <x v="46"/>
    <x v="0"/>
    <x v="2"/>
    <x v="4"/>
    <x v="0"/>
    <x v="41"/>
    <x v="44"/>
    <x v="43"/>
    <x v="0"/>
    <x v="2"/>
    <x v="0"/>
    <x v="44"/>
  </r>
  <r>
    <x v="47"/>
    <x v="0"/>
    <x v="1"/>
    <x v="0"/>
    <x v="0"/>
    <x v="42"/>
    <x v="45"/>
    <x v="44"/>
    <x v="2"/>
    <x v="0"/>
    <x v="1"/>
    <x v="45"/>
  </r>
  <r>
    <x v="48"/>
    <x v="0"/>
    <x v="17"/>
    <x v="0"/>
    <x v="0"/>
    <x v="43"/>
    <x v="46"/>
    <x v="45"/>
    <x v="9"/>
    <x v="0"/>
    <x v="2"/>
    <x v="46"/>
  </r>
  <r>
    <x v="49"/>
    <x v="0"/>
    <x v="17"/>
    <x v="1"/>
    <x v="0"/>
    <x v="44"/>
    <x v="47"/>
    <x v="46"/>
    <x v="8"/>
    <x v="1"/>
    <x v="1"/>
    <x v="8"/>
  </r>
  <r>
    <x v="50"/>
    <x v="0"/>
    <x v="13"/>
    <x v="4"/>
    <x v="0"/>
    <x v="45"/>
    <x v="48"/>
    <x v="47"/>
    <x v="2"/>
    <x v="1"/>
    <x v="0"/>
    <x v="47"/>
  </r>
  <r>
    <x v="51"/>
    <x v="0"/>
    <x v="6"/>
    <x v="2"/>
    <x v="0"/>
    <x v="46"/>
    <x v="49"/>
    <x v="48"/>
    <x v="4"/>
    <x v="0"/>
    <x v="0"/>
    <x v="48"/>
  </r>
  <r>
    <x v="52"/>
    <x v="0"/>
    <x v="1"/>
    <x v="7"/>
    <x v="0"/>
    <x v="47"/>
    <x v="50"/>
    <x v="49"/>
    <x v="8"/>
    <x v="2"/>
    <x v="1"/>
    <x v="49"/>
  </r>
  <r>
    <x v="53"/>
    <x v="0"/>
    <x v="15"/>
    <x v="2"/>
    <x v="2"/>
    <x v="48"/>
    <x v="51"/>
    <x v="50"/>
    <x v="0"/>
    <x v="0"/>
    <x v="1"/>
    <x v="50"/>
  </r>
  <r>
    <x v="54"/>
    <x v="0"/>
    <x v="2"/>
    <x v="1"/>
    <x v="0"/>
    <x v="49"/>
    <x v="52"/>
    <x v="51"/>
    <x v="0"/>
    <x v="1"/>
    <x v="1"/>
    <x v="51"/>
  </r>
  <r>
    <x v="55"/>
    <x v="0"/>
    <x v="2"/>
    <x v="5"/>
    <x v="17"/>
    <x v="7"/>
    <x v="53"/>
    <x v="52"/>
    <x v="8"/>
    <x v="2"/>
    <x v="0"/>
    <x v="8"/>
  </r>
  <r>
    <x v="56"/>
    <x v="0"/>
    <x v="12"/>
    <x v="1"/>
    <x v="0"/>
    <x v="50"/>
    <x v="54"/>
    <x v="53"/>
    <x v="1"/>
    <x v="1"/>
    <x v="2"/>
    <x v="52"/>
  </r>
  <r>
    <x v="57"/>
    <x v="0"/>
    <x v="17"/>
    <x v="4"/>
    <x v="0"/>
    <x v="51"/>
    <x v="55"/>
    <x v="54"/>
    <x v="11"/>
    <x v="1"/>
    <x v="1"/>
    <x v="53"/>
  </r>
  <r>
    <x v="58"/>
    <x v="0"/>
    <x v="15"/>
    <x v="6"/>
    <x v="18"/>
    <x v="52"/>
    <x v="56"/>
    <x v="55"/>
    <x v="9"/>
    <x v="0"/>
    <x v="2"/>
    <x v="54"/>
  </r>
  <r>
    <x v="59"/>
    <x v="0"/>
    <x v="14"/>
    <x v="7"/>
    <x v="0"/>
    <x v="53"/>
    <x v="57"/>
    <x v="56"/>
    <x v="7"/>
    <x v="1"/>
    <x v="2"/>
    <x v="55"/>
  </r>
  <r>
    <x v="60"/>
    <x v="0"/>
    <x v="7"/>
    <x v="0"/>
    <x v="19"/>
    <x v="54"/>
    <x v="58"/>
    <x v="57"/>
    <x v="8"/>
    <x v="1"/>
    <x v="3"/>
    <x v="56"/>
  </r>
  <r>
    <x v="61"/>
    <x v="0"/>
    <x v="7"/>
    <x v="3"/>
    <x v="0"/>
    <x v="55"/>
    <x v="59"/>
    <x v="58"/>
    <x v="5"/>
    <x v="1"/>
    <x v="1"/>
    <x v="57"/>
  </r>
  <r>
    <x v="62"/>
    <x v="0"/>
    <x v="17"/>
    <x v="3"/>
    <x v="0"/>
    <x v="56"/>
    <x v="60"/>
    <x v="59"/>
    <x v="8"/>
    <x v="2"/>
    <x v="1"/>
    <x v="58"/>
  </r>
  <r>
    <x v="63"/>
    <x v="0"/>
    <x v="7"/>
    <x v="3"/>
    <x v="20"/>
    <x v="57"/>
    <x v="61"/>
    <x v="60"/>
    <x v="10"/>
    <x v="1"/>
    <x v="1"/>
    <x v="59"/>
  </r>
  <r>
    <x v="64"/>
    <x v="0"/>
    <x v="5"/>
    <x v="4"/>
    <x v="0"/>
    <x v="58"/>
    <x v="62"/>
    <x v="61"/>
    <x v="10"/>
    <x v="1"/>
    <x v="1"/>
    <x v="60"/>
  </r>
  <r>
    <x v="65"/>
    <x v="0"/>
    <x v="15"/>
    <x v="4"/>
    <x v="21"/>
    <x v="59"/>
    <x v="63"/>
    <x v="0"/>
    <x v="0"/>
    <x v="0"/>
    <x v="3"/>
    <x v="61"/>
  </r>
  <r>
    <x v="66"/>
    <x v="0"/>
    <x v="15"/>
    <x v="6"/>
    <x v="1"/>
    <x v="60"/>
    <x v="64"/>
    <x v="62"/>
    <x v="7"/>
    <x v="1"/>
    <x v="1"/>
    <x v="62"/>
  </r>
  <r>
    <x v="67"/>
    <x v="0"/>
    <x v="13"/>
    <x v="0"/>
    <x v="0"/>
    <x v="61"/>
    <x v="65"/>
    <x v="63"/>
    <x v="5"/>
    <x v="1"/>
    <x v="1"/>
    <x v="63"/>
  </r>
  <r>
    <x v="68"/>
    <x v="0"/>
    <x v="16"/>
    <x v="6"/>
    <x v="22"/>
    <x v="62"/>
    <x v="66"/>
    <x v="64"/>
    <x v="5"/>
    <x v="1"/>
    <x v="0"/>
    <x v="64"/>
  </r>
  <r>
    <x v="69"/>
    <x v="0"/>
    <x v="14"/>
    <x v="6"/>
    <x v="0"/>
    <x v="63"/>
    <x v="67"/>
    <x v="65"/>
    <x v="2"/>
    <x v="0"/>
    <x v="1"/>
    <x v="65"/>
  </r>
  <r>
    <x v="70"/>
    <x v="0"/>
    <x v="0"/>
    <x v="3"/>
    <x v="23"/>
    <x v="64"/>
    <x v="68"/>
    <x v="66"/>
    <x v="6"/>
    <x v="1"/>
    <x v="3"/>
    <x v="66"/>
  </r>
  <r>
    <x v="71"/>
    <x v="0"/>
    <x v="3"/>
    <x v="4"/>
    <x v="0"/>
    <x v="65"/>
    <x v="69"/>
    <x v="67"/>
    <x v="11"/>
    <x v="2"/>
    <x v="0"/>
    <x v="8"/>
  </r>
  <r>
    <x v="72"/>
    <x v="0"/>
    <x v="14"/>
    <x v="5"/>
    <x v="0"/>
    <x v="66"/>
    <x v="70"/>
    <x v="68"/>
    <x v="0"/>
    <x v="1"/>
    <x v="1"/>
    <x v="67"/>
  </r>
  <r>
    <x v="73"/>
    <x v="0"/>
    <x v="5"/>
    <x v="3"/>
    <x v="0"/>
    <x v="7"/>
    <x v="22"/>
    <x v="69"/>
    <x v="10"/>
    <x v="2"/>
    <x v="0"/>
    <x v="68"/>
  </r>
  <r>
    <x v="74"/>
    <x v="0"/>
    <x v="2"/>
    <x v="5"/>
    <x v="0"/>
    <x v="67"/>
    <x v="71"/>
    <x v="70"/>
    <x v="6"/>
    <x v="1"/>
    <x v="3"/>
    <x v="69"/>
  </r>
  <r>
    <x v="75"/>
    <x v="0"/>
    <x v="6"/>
    <x v="0"/>
    <x v="24"/>
    <x v="68"/>
    <x v="72"/>
    <x v="71"/>
    <x v="7"/>
    <x v="0"/>
    <x v="1"/>
    <x v="70"/>
  </r>
  <r>
    <x v="76"/>
    <x v="0"/>
    <x v="11"/>
    <x v="5"/>
    <x v="0"/>
    <x v="69"/>
    <x v="73"/>
    <x v="72"/>
    <x v="1"/>
    <x v="2"/>
    <x v="3"/>
    <x v="71"/>
  </r>
  <r>
    <x v="77"/>
    <x v="0"/>
    <x v="18"/>
    <x v="7"/>
    <x v="0"/>
    <x v="70"/>
    <x v="74"/>
    <x v="31"/>
    <x v="2"/>
    <x v="0"/>
    <x v="1"/>
    <x v="72"/>
  </r>
  <r>
    <x v="78"/>
    <x v="0"/>
    <x v="4"/>
    <x v="4"/>
    <x v="0"/>
    <x v="71"/>
    <x v="75"/>
    <x v="73"/>
    <x v="7"/>
    <x v="0"/>
    <x v="3"/>
    <x v="73"/>
  </r>
  <r>
    <x v="79"/>
    <x v="0"/>
    <x v="7"/>
    <x v="5"/>
    <x v="0"/>
    <x v="72"/>
    <x v="76"/>
    <x v="74"/>
    <x v="6"/>
    <x v="2"/>
    <x v="2"/>
    <x v="74"/>
  </r>
  <r>
    <x v="80"/>
    <x v="0"/>
    <x v="1"/>
    <x v="3"/>
    <x v="0"/>
    <x v="73"/>
    <x v="77"/>
    <x v="75"/>
    <x v="9"/>
    <x v="1"/>
    <x v="3"/>
    <x v="75"/>
  </r>
  <r>
    <x v="81"/>
    <x v="0"/>
    <x v="16"/>
    <x v="7"/>
    <x v="25"/>
    <x v="7"/>
    <x v="78"/>
    <x v="76"/>
    <x v="9"/>
    <x v="1"/>
    <x v="1"/>
    <x v="76"/>
  </r>
  <r>
    <x v="82"/>
    <x v="0"/>
    <x v="17"/>
    <x v="0"/>
    <x v="26"/>
    <x v="74"/>
    <x v="79"/>
    <x v="77"/>
    <x v="5"/>
    <x v="2"/>
    <x v="1"/>
    <x v="77"/>
  </r>
  <r>
    <x v="83"/>
    <x v="0"/>
    <x v="13"/>
    <x v="4"/>
    <x v="0"/>
    <x v="75"/>
    <x v="80"/>
    <x v="78"/>
    <x v="6"/>
    <x v="1"/>
    <x v="1"/>
    <x v="78"/>
  </r>
  <r>
    <x v="84"/>
    <x v="0"/>
    <x v="11"/>
    <x v="5"/>
    <x v="0"/>
    <x v="76"/>
    <x v="81"/>
    <x v="79"/>
    <x v="10"/>
    <x v="1"/>
    <x v="1"/>
    <x v="8"/>
  </r>
  <r>
    <x v="85"/>
    <x v="0"/>
    <x v="10"/>
    <x v="4"/>
    <x v="0"/>
    <x v="77"/>
    <x v="82"/>
    <x v="80"/>
    <x v="7"/>
    <x v="1"/>
    <x v="1"/>
    <x v="79"/>
  </r>
  <r>
    <x v="86"/>
    <x v="0"/>
    <x v="19"/>
    <x v="7"/>
    <x v="0"/>
    <x v="78"/>
    <x v="83"/>
    <x v="81"/>
    <x v="7"/>
    <x v="0"/>
    <x v="1"/>
    <x v="80"/>
  </r>
  <r>
    <x v="87"/>
    <x v="0"/>
    <x v="13"/>
    <x v="7"/>
    <x v="22"/>
    <x v="79"/>
    <x v="84"/>
    <x v="82"/>
    <x v="8"/>
    <x v="2"/>
    <x v="3"/>
    <x v="81"/>
  </r>
  <r>
    <x v="88"/>
    <x v="0"/>
    <x v="2"/>
    <x v="7"/>
    <x v="0"/>
    <x v="80"/>
    <x v="85"/>
    <x v="83"/>
    <x v="6"/>
    <x v="1"/>
    <x v="3"/>
    <x v="82"/>
  </r>
  <r>
    <x v="89"/>
    <x v="0"/>
    <x v="12"/>
    <x v="6"/>
    <x v="0"/>
    <x v="81"/>
    <x v="86"/>
    <x v="84"/>
    <x v="2"/>
    <x v="1"/>
    <x v="3"/>
    <x v="8"/>
  </r>
  <r>
    <x v="90"/>
    <x v="0"/>
    <x v="15"/>
    <x v="6"/>
    <x v="0"/>
    <x v="82"/>
    <x v="87"/>
    <x v="85"/>
    <x v="2"/>
    <x v="0"/>
    <x v="3"/>
    <x v="83"/>
  </r>
  <r>
    <x v="91"/>
    <x v="0"/>
    <x v="16"/>
    <x v="6"/>
    <x v="13"/>
    <x v="83"/>
    <x v="88"/>
    <x v="76"/>
    <x v="9"/>
    <x v="1"/>
    <x v="3"/>
    <x v="84"/>
  </r>
  <r>
    <x v="92"/>
    <x v="0"/>
    <x v="9"/>
    <x v="7"/>
    <x v="15"/>
    <x v="84"/>
    <x v="89"/>
    <x v="86"/>
    <x v="4"/>
    <x v="1"/>
    <x v="3"/>
    <x v="8"/>
  </r>
  <r>
    <x v="93"/>
    <x v="0"/>
    <x v="18"/>
    <x v="1"/>
    <x v="0"/>
    <x v="85"/>
    <x v="90"/>
    <x v="87"/>
    <x v="0"/>
    <x v="1"/>
    <x v="1"/>
    <x v="85"/>
  </r>
  <r>
    <x v="94"/>
    <x v="0"/>
    <x v="13"/>
    <x v="5"/>
    <x v="0"/>
    <x v="86"/>
    <x v="91"/>
    <x v="52"/>
    <x v="8"/>
    <x v="2"/>
    <x v="1"/>
    <x v="86"/>
  </r>
  <r>
    <x v="95"/>
    <x v="0"/>
    <x v="11"/>
    <x v="7"/>
    <x v="27"/>
    <x v="7"/>
    <x v="92"/>
    <x v="88"/>
    <x v="1"/>
    <x v="2"/>
    <x v="1"/>
    <x v="87"/>
  </r>
  <r>
    <x v="96"/>
    <x v="0"/>
    <x v="19"/>
    <x v="3"/>
    <x v="28"/>
    <x v="87"/>
    <x v="93"/>
    <x v="89"/>
    <x v="2"/>
    <x v="0"/>
    <x v="0"/>
    <x v="88"/>
  </r>
  <r>
    <x v="97"/>
    <x v="0"/>
    <x v="5"/>
    <x v="2"/>
    <x v="0"/>
    <x v="88"/>
    <x v="94"/>
    <x v="90"/>
    <x v="0"/>
    <x v="1"/>
    <x v="1"/>
    <x v="89"/>
  </r>
  <r>
    <x v="98"/>
    <x v="0"/>
    <x v="10"/>
    <x v="4"/>
    <x v="29"/>
    <x v="89"/>
    <x v="95"/>
    <x v="91"/>
    <x v="1"/>
    <x v="1"/>
    <x v="3"/>
    <x v="90"/>
  </r>
  <r>
    <x v="99"/>
    <x v="0"/>
    <x v="3"/>
    <x v="0"/>
    <x v="0"/>
    <x v="90"/>
    <x v="96"/>
    <x v="92"/>
    <x v="10"/>
    <x v="1"/>
    <x v="0"/>
    <x v="91"/>
  </r>
  <r>
    <x v="100"/>
    <x v="0"/>
    <x v="3"/>
    <x v="6"/>
    <x v="0"/>
    <x v="91"/>
    <x v="97"/>
    <x v="93"/>
    <x v="5"/>
    <x v="1"/>
    <x v="1"/>
    <x v="92"/>
  </r>
  <r>
    <x v="101"/>
    <x v="0"/>
    <x v="0"/>
    <x v="5"/>
    <x v="0"/>
    <x v="92"/>
    <x v="98"/>
    <x v="94"/>
    <x v="8"/>
    <x v="2"/>
    <x v="1"/>
    <x v="93"/>
  </r>
  <r>
    <x v="102"/>
    <x v="0"/>
    <x v="5"/>
    <x v="1"/>
    <x v="0"/>
    <x v="93"/>
    <x v="99"/>
    <x v="95"/>
    <x v="5"/>
    <x v="2"/>
    <x v="1"/>
    <x v="94"/>
  </r>
  <r>
    <x v="103"/>
    <x v="0"/>
    <x v="2"/>
    <x v="5"/>
    <x v="0"/>
    <x v="94"/>
    <x v="100"/>
    <x v="28"/>
    <x v="8"/>
    <x v="1"/>
    <x v="0"/>
    <x v="95"/>
  </r>
  <r>
    <x v="104"/>
    <x v="0"/>
    <x v="8"/>
    <x v="3"/>
    <x v="0"/>
    <x v="95"/>
    <x v="101"/>
    <x v="66"/>
    <x v="6"/>
    <x v="1"/>
    <x v="2"/>
    <x v="96"/>
  </r>
  <r>
    <x v="105"/>
    <x v="0"/>
    <x v="5"/>
    <x v="1"/>
    <x v="0"/>
    <x v="96"/>
    <x v="102"/>
    <x v="96"/>
    <x v="8"/>
    <x v="2"/>
    <x v="1"/>
    <x v="97"/>
  </r>
  <r>
    <x v="106"/>
    <x v="0"/>
    <x v="7"/>
    <x v="0"/>
    <x v="0"/>
    <x v="97"/>
    <x v="103"/>
    <x v="97"/>
    <x v="6"/>
    <x v="1"/>
    <x v="1"/>
    <x v="98"/>
  </r>
  <r>
    <x v="107"/>
    <x v="0"/>
    <x v="6"/>
    <x v="7"/>
    <x v="0"/>
    <x v="98"/>
    <x v="104"/>
    <x v="98"/>
    <x v="10"/>
    <x v="1"/>
    <x v="3"/>
    <x v="99"/>
  </r>
  <r>
    <x v="108"/>
    <x v="0"/>
    <x v="17"/>
    <x v="1"/>
    <x v="0"/>
    <x v="99"/>
    <x v="105"/>
    <x v="99"/>
    <x v="9"/>
    <x v="0"/>
    <x v="2"/>
    <x v="8"/>
  </r>
  <r>
    <x v="109"/>
    <x v="0"/>
    <x v="4"/>
    <x v="5"/>
    <x v="0"/>
    <x v="100"/>
    <x v="106"/>
    <x v="100"/>
    <x v="7"/>
    <x v="0"/>
    <x v="3"/>
    <x v="100"/>
  </r>
  <r>
    <x v="110"/>
    <x v="0"/>
    <x v="14"/>
    <x v="0"/>
    <x v="0"/>
    <x v="7"/>
    <x v="22"/>
    <x v="101"/>
    <x v="5"/>
    <x v="2"/>
    <x v="2"/>
    <x v="101"/>
  </r>
  <r>
    <x v="111"/>
    <x v="0"/>
    <x v="9"/>
    <x v="2"/>
    <x v="0"/>
    <x v="101"/>
    <x v="107"/>
    <x v="102"/>
    <x v="1"/>
    <x v="2"/>
    <x v="1"/>
    <x v="102"/>
  </r>
  <r>
    <x v="112"/>
    <x v="0"/>
    <x v="4"/>
    <x v="1"/>
    <x v="0"/>
    <x v="102"/>
    <x v="108"/>
    <x v="103"/>
    <x v="4"/>
    <x v="1"/>
    <x v="0"/>
    <x v="103"/>
  </r>
  <r>
    <x v="113"/>
    <x v="0"/>
    <x v="9"/>
    <x v="5"/>
    <x v="0"/>
    <x v="103"/>
    <x v="109"/>
    <x v="104"/>
    <x v="11"/>
    <x v="2"/>
    <x v="1"/>
    <x v="104"/>
  </r>
  <r>
    <x v="114"/>
    <x v="0"/>
    <x v="13"/>
    <x v="6"/>
    <x v="30"/>
    <x v="104"/>
    <x v="110"/>
    <x v="105"/>
    <x v="6"/>
    <x v="0"/>
    <x v="3"/>
    <x v="105"/>
  </r>
  <r>
    <x v="115"/>
    <x v="0"/>
    <x v="0"/>
    <x v="0"/>
    <x v="9"/>
    <x v="105"/>
    <x v="111"/>
    <x v="106"/>
    <x v="4"/>
    <x v="0"/>
    <x v="2"/>
    <x v="106"/>
  </r>
  <r>
    <x v="116"/>
    <x v="0"/>
    <x v="14"/>
    <x v="4"/>
    <x v="0"/>
    <x v="106"/>
    <x v="112"/>
    <x v="107"/>
    <x v="2"/>
    <x v="2"/>
    <x v="0"/>
    <x v="107"/>
  </r>
  <r>
    <x v="117"/>
    <x v="0"/>
    <x v="19"/>
    <x v="0"/>
    <x v="0"/>
    <x v="107"/>
    <x v="113"/>
    <x v="108"/>
    <x v="9"/>
    <x v="1"/>
    <x v="1"/>
    <x v="108"/>
  </r>
  <r>
    <x v="118"/>
    <x v="0"/>
    <x v="3"/>
    <x v="2"/>
    <x v="0"/>
    <x v="108"/>
    <x v="114"/>
    <x v="109"/>
    <x v="3"/>
    <x v="1"/>
    <x v="3"/>
    <x v="109"/>
  </r>
  <r>
    <x v="119"/>
    <x v="0"/>
    <x v="5"/>
    <x v="7"/>
    <x v="0"/>
    <x v="109"/>
    <x v="115"/>
    <x v="110"/>
    <x v="5"/>
    <x v="1"/>
    <x v="3"/>
    <x v="110"/>
  </r>
  <r>
    <x v="120"/>
    <x v="0"/>
    <x v="6"/>
    <x v="4"/>
    <x v="0"/>
    <x v="110"/>
    <x v="116"/>
    <x v="111"/>
    <x v="11"/>
    <x v="0"/>
    <x v="1"/>
    <x v="111"/>
  </r>
  <r>
    <x v="121"/>
    <x v="0"/>
    <x v="13"/>
    <x v="5"/>
    <x v="0"/>
    <x v="111"/>
    <x v="117"/>
    <x v="42"/>
    <x v="7"/>
    <x v="1"/>
    <x v="1"/>
    <x v="8"/>
  </r>
  <r>
    <x v="122"/>
    <x v="0"/>
    <x v="19"/>
    <x v="1"/>
    <x v="0"/>
    <x v="112"/>
    <x v="118"/>
    <x v="112"/>
    <x v="1"/>
    <x v="2"/>
    <x v="1"/>
    <x v="112"/>
  </r>
  <r>
    <x v="123"/>
    <x v="0"/>
    <x v="11"/>
    <x v="4"/>
    <x v="0"/>
    <x v="7"/>
    <x v="22"/>
    <x v="113"/>
    <x v="3"/>
    <x v="1"/>
    <x v="1"/>
    <x v="113"/>
  </r>
  <r>
    <x v="124"/>
    <x v="0"/>
    <x v="12"/>
    <x v="3"/>
    <x v="0"/>
    <x v="113"/>
    <x v="119"/>
    <x v="114"/>
    <x v="2"/>
    <x v="1"/>
    <x v="1"/>
    <x v="114"/>
  </r>
  <r>
    <x v="125"/>
    <x v="0"/>
    <x v="8"/>
    <x v="1"/>
    <x v="0"/>
    <x v="114"/>
    <x v="120"/>
    <x v="115"/>
    <x v="11"/>
    <x v="1"/>
    <x v="1"/>
    <x v="115"/>
  </r>
  <r>
    <x v="126"/>
    <x v="0"/>
    <x v="1"/>
    <x v="2"/>
    <x v="0"/>
    <x v="115"/>
    <x v="121"/>
    <x v="116"/>
    <x v="3"/>
    <x v="1"/>
    <x v="1"/>
    <x v="116"/>
  </r>
  <r>
    <x v="127"/>
    <x v="0"/>
    <x v="5"/>
    <x v="4"/>
    <x v="0"/>
    <x v="116"/>
    <x v="122"/>
    <x v="117"/>
    <x v="8"/>
    <x v="1"/>
    <x v="1"/>
    <x v="117"/>
  </r>
  <r>
    <x v="128"/>
    <x v="0"/>
    <x v="18"/>
    <x v="2"/>
    <x v="31"/>
    <x v="117"/>
    <x v="123"/>
    <x v="118"/>
    <x v="2"/>
    <x v="2"/>
    <x v="0"/>
    <x v="118"/>
  </r>
  <r>
    <x v="129"/>
    <x v="0"/>
    <x v="6"/>
    <x v="3"/>
    <x v="0"/>
    <x v="118"/>
    <x v="124"/>
    <x v="6"/>
    <x v="5"/>
    <x v="1"/>
    <x v="0"/>
    <x v="119"/>
  </r>
  <r>
    <x v="130"/>
    <x v="0"/>
    <x v="0"/>
    <x v="6"/>
    <x v="0"/>
    <x v="119"/>
    <x v="125"/>
    <x v="119"/>
    <x v="10"/>
    <x v="1"/>
    <x v="1"/>
    <x v="120"/>
  </r>
  <r>
    <x v="131"/>
    <x v="0"/>
    <x v="16"/>
    <x v="7"/>
    <x v="0"/>
    <x v="120"/>
    <x v="126"/>
    <x v="120"/>
    <x v="3"/>
    <x v="0"/>
    <x v="1"/>
    <x v="121"/>
  </r>
  <r>
    <x v="132"/>
    <x v="0"/>
    <x v="4"/>
    <x v="3"/>
    <x v="0"/>
    <x v="121"/>
    <x v="127"/>
    <x v="121"/>
    <x v="8"/>
    <x v="1"/>
    <x v="0"/>
    <x v="122"/>
  </r>
  <r>
    <x v="133"/>
    <x v="0"/>
    <x v="14"/>
    <x v="0"/>
    <x v="32"/>
    <x v="122"/>
    <x v="128"/>
    <x v="122"/>
    <x v="0"/>
    <x v="0"/>
    <x v="1"/>
    <x v="123"/>
  </r>
  <r>
    <x v="134"/>
    <x v="0"/>
    <x v="15"/>
    <x v="7"/>
    <x v="32"/>
    <x v="123"/>
    <x v="129"/>
    <x v="92"/>
    <x v="10"/>
    <x v="1"/>
    <x v="3"/>
    <x v="124"/>
  </r>
  <r>
    <x v="135"/>
    <x v="0"/>
    <x v="9"/>
    <x v="7"/>
    <x v="0"/>
    <x v="124"/>
    <x v="130"/>
    <x v="123"/>
    <x v="3"/>
    <x v="0"/>
    <x v="3"/>
    <x v="125"/>
  </r>
  <r>
    <x v="136"/>
    <x v="0"/>
    <x v="11"/>
    <x v="6"/>
    <x v="0"/>
    <x v="125"/>
    <x v="131"/>
    <x v="124"/>
    <x v="9"/>
    <x v="0"/>
    <x v="1"/>
    <x v="126"/>
  </r>
  <r>
    <x v="137"/>
    <x v="0"/>
    <x v="13"/>
    <x v="3"/>
    <x v="0"/>
    <x v="7"/>
    <x v="22"/>
    <x v="125"/>
    <x v="2"/>
    <x v="1"/>
    <x v="2"/>
    <x v="8"/>
  </r>
  <r>
    <x v="138"/>
    <x v="0"/>
    <x v="6"/>
    <x v="3"/>
    <x v="33"/>
    <x v="7"/>
    <x v="132"/>
    <x v="91"/>
    <x v="1"/>
    <x v="1"/>
    <x v="1"/>
    <x v="127"/>
  </r>
  <r>
    <x v="139"/>
    <x v="0"/>
    <x v="9"/>
    <x v="1"/>
    <x v="0"/>
    <x v="126"/>
    <x v="133"/>
    <x v="126"/>
    <x v="11"/>
    <x v="2"/>
    <x v="0"/>
    <x v="128"/>
  </r>
  <r>
    <x v="140"/>
    <x v="0"/>
    <x v="10"/>
    <x v="1"/>
    <x v="0"/>
    <x v="127"/>
    <x v="134"/>
    <x v="127"/>
    <x v="0"/>
    <x v="1"/>
    <x v="0"/>
    <x v="129"/>
  </r>
  <r>
    <x v="141"/>
    <x v="0"/>
    <x v="2"/>
    <x v="2"/>
    <x v="34"/>
    <x v="128"/>
    <x v="135"/>
    <x v="128"/>
    <x v="7"/>
    <x v="0"/>
    <x v="2"/>
    <x v="130"/>
  </r>
  <r>
    <x v="142"/>
    <x v="0"/>
    <x v="12"/>
    <x v="6"/>
    <x v="0"/>
    <x v="129"/>
    <x v="136"/>
    <x v="129"/>
    <x v="11"/>
    <x v="2"/>
    <x v="0"/>
    <x v="131"/>
  </r>
  <r>
    <x v="143"/>
    <x v="0"/>
    <x v="9"/>
    <x v="5"/>
    <x v="0"/>
    <x v="130"/>
    <x v="137"/>
    <x v="130"/>
    <x v="7"/>
    <x v="1"/>
    <x v="1"/>
    <x v="132"/>
  </r>
  <r>
    <x v="144"/>
    <x v="0"/>
    <x v="19"/>
    <x v="5"/>
    <x v="0"/>
    <x v="131"/>
    <x v="138"/>
    <x v="131"/>
    <x v="10"/>
    <x v="0"/>
    <x v="2"/>
    <x v="133"/>
  </r>
  <r>
    <x v="145"/>
    <x v="0"/>
    <x v="19"/>
    <x v="7"/>
    <x v="0"/>
    <x v="132"/>
    <x v="139"/>
    <x v="70"/>
    <x v="6"/>
    <x v="1"/>
    <x v="1"/>
    <x v="134"/>
  </r>
  <r>
    <x v="146"/>
    <x v="0"/>
    <x v="0"/>
    <x v="6"/>
    <x v="0"/>
    <x v="133"/>
    <x v="140"/>
    <x v="132"/>
    <x v="10"/>
    <x v="1"/>
    <x v="1"/>
    <x v="135"/>
  </r>
  <r>
    <x v="147"/>
    <x v="0"/>
    <x v="17"/>
    <x v="2"/>
    <x v="0"/>
    <x v="134"/>
    <x v="141"/>
    <x v="133"/>
    <x v="0"/>
    <x v="1"/>
    <x v="3"/>
    <x v="8"/>
  </r>
  <r>
    <x v="148"/>
    <x v="0"/>
    <x v="13"/>
    <x v="3"/>
    <x v="0"/>
    <x v="135"/>
    <x v="142"/>
    <x v="134"/>
    <x v="11"/>
    <x v="1"/>
    <x v="2"/>
    <x v="136"/>
  </r>
  <r>
    <x v="149"/>
    <x v="0"/>
    <x v="13"/>
    <x v="7"/>
    <x v="0"/>
    <x v="136"/>
    <x v="143"/>
    <x v="135"/>
    <x v="11"/>
    <x v="2"/>
    <x v="3"/>
    <x v="137"/>
  </r>
  <r>
    <x v="150"/>
    <x v="0"/>
    <x v="11"/>
    <x v="1"/>
    <x v="0"/>
    <x v="137"/>
    <x v="144"/>
    <x v="136"/>
    <x v="4"/>
    <x v="0"/>
    <x v="1"/>
    <x v="8"/>
  </r>
  <r>
    <x v="151"/>
    <x v="0"/>
    <x v="1"/>
    <x v="1"/>
    <x v="0"/>
    <x v="138"/>
    <x v="145"/>
    <x v="137"/>
    <x v="1"/>
    <x v="1"/>
    <x v="1"/>
    <x v="138"/>
  </r>
  <r>
    <x v="152"/>
    <x v="0"/>
    <x v="17"/>
    <x v="2"/>
    <x v="0"/>
    <x v="139"/>
    <x v="146"/>
    <x v="138"/>
    <x v="6"/>
    <x v="2"/>
    <x v="2"/>
    <x v="139"/>
  </r>
  <r>
    <x v="153"/>
    <x v="0"/>
    <x v="19"/>
    <x v="0"/>
    <x v="27"/>
    <x v="140"/>
    <x v="147"/>
    <x v="139"/>
    <x v="5"/>
    <x v="1"/>
    <x v="0"/>
    <x v="140"/>
  </r>
  <r>
    <x v="154"/>
    <x v="0"/>
    <x v="19"/>
    <x v="6"/>
    <x v="0"/>
    <x v="141"/>
    <x v="148"/>
    <x v="140"/>
    <x v="2"/>
    <x v="0"/>
    <x v="0"/>
    <x v="141"/>
  </r>
  <r>
    <x v="155"/>
    <x v="0"/>
    <x v="9"/>
    <x v="0"/>
    <x v="0"/>
    <x v="142"/>
    <x v="149"/>
    <x v="141"/>
    <x v="4"/>
    <x v="1"/>
    <x v="1"/>
    <x v="142"/>
  </r>
  <r>
    <x v="156"/>
    <x v="0"/>
    <x v="14"/>
    <x v="4"/>
    <x v="0"/>
    <x v="143"/>
    <x v="150"/>
    <x v="142"/>
    <x v="1"/>
    <x v="1"/>
    <x v="0"/>
    <x v="143"/>
  </r>
  <r>
    <x v="157"/>
    <x v="0"/>
    <x v="14"/>
    <x v="1"/>
    <x v="23"/>
    <x v="144"/>
    <x v="151"/>
    <x v="143"/>
    <x v="8"/>
    <x v="2"/>
    <x v="0"/>
    <x v="8"/>
  </r>
  <r>
    <x v="158"/>
    <x v="0"/>
    <x v="11"/>
    <x v="7"/>
    <x v="0"/>
    <x v="145"/>
    <x v="152"/>
    <x v="144"/>
    <x v="7"/>
    <x v="2"/>
    <x v="3"/>
    <x v="144"/>
  </r>
  <r>
    <x v="159"/>
    <x v="0"/>
    <x v="11"/>
    <x v="3"/>
    <x v="0"/>
    <x v="146"/>
    <x v="153"/>
    <x v="145"/>
    <x v="0"/>
    <x v="2"/>
    <x v="1"/>
    <x v="145"/>
  </r>
  <r>
    <x v="160"/>
    <x v="0"/>
    <x v="1"/>
    <x v="0"/>
    <x v="0"/>
    <x v="147"/>
    <x v="154"/>
    <x v="146"/>
    <x v="6"/>
    <x v="2"/>
    <x v="0"/>
    <x v="146"/>
  </r>
  <r>
    <x v="161"/>
    <x v="0"/>
    <x v="1"/>
    <x v="3"/>
    <x v="35"/>
    <x v="148"/>
    <x v="155"/>
    <x v="147"/>
    <x v="3"/>
    <x v="1"/>
    <x v="2"/>
    <x v="147"/>
  </r>
  <r>
    <x v="162"/>
    <x v="0"/>
    <x v="9"/>
    <x v="6"/>
    <x v="0"/>
    <x v="149"/>
    <x v="156"/>
    <x v="148"/>
    <x v="3"/>
    <x v="1"/>
    <x v="2"/>
    <x v="148"/>
  </r>
  <r>
    <x v="163"/>
    <x v="0"/>
    <x v="0"/>
    <x v="2"/>
    <x v="0"/>
    <x v="150"/>
    <x v="157"/>
    <x v="149"/>
    <x v="9"/>
    <x v="2"/>
    <x v="2"/>
    <x v="149"/>
  </r>
  <r>
    <x v="164"/>
    <x v="0"/>
    <x v="11"/>
    <x v="3"/>
    <x v="0"/>
    <x v="7"/>
    <x v="22"/>
    <x v="91"/>
    <x v="1"/>
    <x v="1"/>
    <x v="0"/>
    <x v="150"/>
  </r>
  <r>
    <x v="165"/>
    <x v="0"/>
    <x v="19"/>
    <x v="3"/>
    <x v="0"/>
    <x v="151"/>
    <x v="158"/>
    <x v="150"/>
    <x v="9"/>
    <x v="0"/>
    <x v="3"/>
    <x v="151"/>
  </r>
  <r>
    <x v="166"/>
    <x v="0"/>
    <x v="11"/>
    <x v="0"/>
    <x v="0"/>
    <x v="152"/>
    <x v="159"/>
    <x v="151"/>
    <x v="0"/>
    <x v="0"/>
    <x v="3"/>
    <x v="152"/>
  </r>
  <r>
    <x v="167"/>
    <x v="0"/>
    <x v="10"/>
    <x v="2"/>
    <x v="0"/>
    <x v="153"/>
    <x v="160"/>
    <x v="152"/>
    <x v="9"/>
    <x v="1"/>
    <x v="0"/>
    <x v="153"/>
  </r>
  <r>
    <x v="168"/>
    <x v="0"/>
    <x v="17"/>
    <x v="3"/>
    <x v="23"/>
    <x v="154"/>
    <x v="161"/>
    <x v="153"/>
    <x v="11"/>
    <x v="2"/>
    <x v="2"/>
    <x v="154"/>
  </r>
  <r>
    <x v="169"/>
    <x v="0"/>
    <x v="1"/>
    <x v="5"/>
    <x v="36"/>
    <x v="155"/>
    <x v="162"/>
    <x v="154"/>
    <x v="1"/>
    <x v="0"/>
    <x v="1"/>
    <x v="155"/>
  </r>
  <r>
    <x v="170"/>
    <x v="0"/>
    <x v="12"/>
    <x v="3"/>
    <x v="0"/>
    <x v="156"/>
    <x v="163"/>
    <x v="64"/>
    <x v="5"/>
    <x v="1"/>
    <x v="1"/>
    <x v="156"/>
  </r>
  <r>
    <x v="171"/>
    <x v="0"/>
    <x v="13"/>
    <x v="6"/>
    <x v="37"/>
    <x v="157"/>
    <x v="164"/>
    <x v="155"/>
    <x v="0"/>
    <x v="1"/>
    <x v="1"/>
    <x v="157"/>
  </r>
  <r>
    <x v="172"/>
    <x v="0"/>
    <x v="0"/>
    <x v="3"/>
    <x v="0"/>
    <x v="7"/>
    <x v="22"/>
    <x v="156"/>
    <x v="9"/>
    <x v="0"/>
    <x v="1"/>
    <x v="158"/>
  </r>
  <r>
    <x v="173"/>
    <x v="0"/>
    <x v="1"/>
    <x v="7"/>
    <x v="0"/>
    <x v="158"/>
    <x v="165"/>
    <x v="157"/>
    <x v="9"/>
    <x v="1"/>
    <x v="1"/>
    <x v="159"/>
  </r>
  <r>
    <x v="174"/>
    <x v="0"/>
    <x v="2"/>
    <x v="4"/>
    <x v="0"/>
    <x v="159"/>
    <x v="166"/>
    <x v="158"/>
    <x v="3"/>
    <x v="0"/>
    <x v="1"/>
    <x v="160"/>
  </r>
  <r>
    <x v="175"/>
    <x v="0"/>
    <x v="4"/>
    <x v="4"/>
    <x v="0"/>
    <x v="160"/>
    <x v="167"/>
    <x v="159"/>
    <x v="0"/>
    <x v="0"/>
    <x v="1"/>
    <x v="161"/>
  </r>
  <r>
    <x v="176"/>
    <x v="0"/>
    <x v="17"/>
    <x v="2"/>
    <x v="0"/>
    <x v="161"/>
    <x v="168"/>
    <x v="160"/>
    <x v="10"/>
    <x v="2"/>
    <x v="3"/>
    <x v="162"/>
  </r>
  <r>
    <x v="177"/>
    <x v="0"/>
    <x v="19"/>
    <x v="5"/>
    <x v="0"/>
    <x v="162"/>
    <x v="169"/>
    <x v="161"/>
    <x v="5"/>
    <x v="1"/>
    <x v="1"/>
    <x v="163"/>
  </r>
  <r>
    <x v="178"/>
    <x v="0"/>
    <x v="1"/>
    <x v="4"/>
    <x v="38"/>
    <x v="163"/>
    <x v="170"/>
    <x v="155"/>
    <x v="0"/>
    <x v="1"/>
    <x v="2"/>
    <x v="164"/>
  </r>
  <r>
    <x v="179"/>
    <x v="0"/>
    <x v="3"/>
    <x v="1"/>
    <x v="0"/>
    <x v="164"/>
    <x v="171"/>
    <x v="162"/>
    <x v="8"/>
    <x v="0"/>
    <x v="1"/>
    <x v="165"/>
  </r>
  <r>
    <x v="180"/>
    <x v="0"/>
    <x v="9"/>
    <x v="1"/>
    <x v="0"/>
    <x v="165"/>
    <x v="172"/>
    <x v="163"/>
    <x v="0"/>
    <x v="1"/>
    <x v="3"/>
    <x v="166"/>
  </r>
  <r>
    <x v="181"/>
    <x v="0"/>
    <x v="1"/>
    <x v="0"/>
    <x v="0"/>
    <x v="166"/>
    <x v="173"/>
    <x v="164"/>
    <x v="3"/>
    <x v="0"/>
    <x v="3"/>
    <x v="167"/>
  </r>
  <r>
    <x v="182"/>
    <x v="0"/>
    <x v="3"/>
    <x v="1"/>
    <x v="14"/>
    <x v="167"/>
    <x v="174"/>
    <x v="165"/>
    <x v="9"/>
    <x v="1"/>
    <x v="2"/>
    <x v="168"/>
  </r>
  <r>
    <x v="183"/>
    <x v="0"/>
    <x v="15"/>
    <x v="6"/>
    <x v="0"/>
    <x v="168"/>
    <x v="175"/>
    <x v="166"/>
    <x v="0"/>
    <x v="0"/>
    <x v="3"/>
    <x v="169"/>
  </r>
  <r>
    <x v="184"/>
    <x v="0"/>
    <x v="2"/>
    <x v="2"/>
    <x v="19"/>
    <x v="169"/>
    <x v="176"/>
    <x v="167"/>
    <x v="5"/>
    <x v="1"/>
    <x v="3"/>
    <x v="170"/>
  </r>
  <r>
    <x v="185"/>
    <x v="0"/>
    <x v="19"/>
    <x v="0"/>
    <x v="0"/>
    <x v="170"/>
    <x v="177"/>
    <x v="168"/>
    <x v="10"/>
    <x v="2"/>
    <x v="1"/>
    <x v="8"/>
  </r>
  <r>
    <x v="186"/>
    <x v="0"/>
    <x v="0"/>
    <x v="7"/>
    <x v="39"/>
    <x v="171"/>
    <x v="178"/>
    <x v="169"/>
    <x v="7"/>
    <x v="1"/>
    <x v="3"/>
    <x v="171"/>
  </r>
  <r>
    <x v="187"/>
    <x v="0"/>
    <x v="11"/>
    <x v="4"/>
    <x v="0"/>
    <x v="172"/>
    <x v="179"/>
    <x v="170"/>
    <x v="9"/>
    <x v="0"/>
    <x v="0"/>
    <x v="172"/>
  </r>
  <r>
    <x v="188"/>
    <x v="0"/>
    <x v="1"/>
    <x v="4"/>
    <x v="22"/>
    <x v="173"/>
    <x v="180"/>
    <x v="171"/>
    <x v="11"/>
    <x v="2"/>
    <x v="1"/>
    <x v="173"/>
  </r>
  <r>
    <x v="189"/>
    <x v="0"/>
    <x v="1"/>
    <x v="2"/>
    <x v="0"/>
    <x v="174"/>
    <x v="181"/>
    <x v="172"/>
    <x v="2"/>
    <x v="1"/>
    <x v="1"/>
    <x v="174"/>
  </r>
  <r>
    <x v="190"/>
    <x v="0"/>
    <x v="11"/>
    <x v="7"/>
    <x v="40"/>
    <x v="7"/>
    <x v="182"/>
    <x v="173"/>
    <x v="11"/>
    <x v="1"/>
    <x v="0"/>
    <x v="175"/>
  </r>
  <r>
    <x v="191"/>
    <x v="0"/>
    <x v="8"/>
    <x v="2"/>
    <x v="41"/>
    <x v="175"/>
    <x v="183"/>
    <x v="168"/>
    <x v="10"/>
    <x v="2"/>
    <x v="1"/>
    <x v="176"/>
  </r>
  <r>
    <x v="192"/>
    <x v="0"/>
    <x v="15"/>
    <x v="1"/>
    <x v="42"/>
    <x v="176"/>
    <x v="184"/>
    <x v="36"/>
    <x v="6"/>
    <x v="1"/>
    <x v="1"/>
    <x v="177"/>
  </r>
  <r>
    <x v="193"/>
    <x v="0"/>
    <x v="5"/>
    <x v="4"/>
    <x v="42"/>
    <x v="177"/>
    <x v="185"/>
    <x v="174"/>
    <x v="10"/>
    <x v="2"/>
    <x v="3"/>
    <x v="178"/>
  </r>
  <r>
    <x v="194"/>
    <x v="0"/>
    <x v="10"/>
    <x v="5"/>
    <x v="0"/>
    <x v="178"/>
    <x v="186"/>
    <x v="153"/>
    <x v="11"/>
    <x v="2"/>
    <x v="0"/>
    <x v="179"/>
  </r>
  <r>
    <x v="195"/>
    <x v="0"/>
    <x v="14"/>
    <x v="4"/>
    <x v="0"/>
    <x v="179"/>
    <x v="187"/>
    <x v="163"/>
    <x v="0"/>
    <x v="1"/>
    <x v="3"/>
    <x v="180"/>
  </r>
  <r>
    <x v="196"/>
    <x v="0"/>
    <x v="5"/>
    <x v="6"/>
    <x v="0"/>
    <x v="180"/>
    <x v="188"/>
    <x v="49"/>
    <x v="8"/>
    <x v="2"/>
    <x v="0"/>
    <x v="181"/>
  </r>
  <r>
    <x v="197"/>
    <x v="0"/>
    <x v="2"/>
    <x v="4"/>
    <x v="0"/>
    <x v="181"/>
    <x v="189"/>
    <x v="175"/>
    <x v="10"/>
    <x v="1"/>
    <x v="3"/>
    <x v="182"/>
  </r>
  <r>
    <x v="198"/>
    <x v="0"/>
    <x v="18"/>
    <x v="7"/>
    <x v="0"/>
    <x v="182"/>
    <x v="190"/>
    <x v="176"/>
    <x v="2"/>
    <x v="1"/>
    <x v="2"/>
    <x v="183"/>
  </r>
  <r>
    <x v="199"/>
    <x v="0"/>
    <x v="16"/>
    <x v="4"/>
    <x v="0"/>
    <x v="7"/>
    <x v="22"/>
    <x v="177"/>
    <x v="11"/>
    <x v="1"/>
    <x v="0"/>
    <x v="8"/>
  </r>
  <r>
    <x v="200"/>
    <x v="0"/>
    <x v="9"/>
    <x v="5"/>
    <x v="0"/>
    <x v="183"/>
    <x v="191"/>
    <x v="178"/>
    <x v="4"/>
    <x v="1"/>
    <x v="3"/>
    <x v="8"/>
  </r>
  <r>
    <x v="201"/>
    <x v="0"/>
    <x v="8"/>
    <x v="4"/>
    <x v="41"/>
    <x v="184"/>
    <x v="192"/>
    <x v="179"/>
    <x v="1"/>
    <x v="2"/>
    <x v="3"/>
    <x v="184"/>
  </r>
  <r>
    <x v="202"/>
    <x v="0"/>
    <x v="2"/>
    <x v="6"/>
    <x v="0"/>
    <x v="185"/>
    <x v="193"/>
    <x v="180"/>
    <x v="3"/>
    <x v="0"/>
    <x v="2"/>
    <x v="185"/>
  </r>
  <r>
    <x v="203"/>
    <x v="0"/>
    <x v="17"/>
    <x v="1"/>
    <x v="0"/>
    <x v="186"/>
    <x v="194"/>
    <x v="110"/>
    <x v="5"/>
    <x v="1"/>
    <x v="1"/>
    <x v="186"/>
  </r>
  <r>
    <x v="204"/>
    <x v="0"/>
    <x v="9"/>
    <x v="0"/>
    <x v="39"/>
    <x v="187"/>
    <x v="195"/>
    <x v="181"/>
    <x v="7"/>
    <x v="1"/>
    <x v="1"/>
    <x v="187"/>
  </r>
  <r>
    <x v="205"/>
    <x v="0"/>
    <x v="6"/>
    <x v="4"/>
    <x v="0"/>
    <x v="188"/>
    <x v="196"/>
    <x v="182"/>
    <x v="7"/>
    <x v="0"/>
    <x v="2"/>
    <x v="188"/>
  </r>
  <r>
    <x v="206"/>
    <x v="0"/>
    <x v="18"/>
    <x v="5"/>
    <x v="39"/>
    <x v="189"/>
    <x v="197"/>
    <x v="183"/>
    <x v="9"/>
    <x v="0"/>
    <x v="0"/>
    <x v="189"/>
  </r>
  <r>
    <x v="207"/>
    <x v="0"/>
    <x v="8"/>
    <x v="0"/>
    <x v="0"/>
    <x v="190"/>
    <x v="198"/>
    <x v="184"/>
    <x v="4"/>
    <x v="1"/>
    <x v="1"/>
    <x v="190"/>
  </r>
  <r>
    <x v="208"/>
    <x v="0"/>
    <x v="5"/>
    <x v="1"/>
    <x v="0"/>
    <x v="191"/>
    <x v="199"/>
    <x v="185"/>
    <x v="7"/>
    <x v="2"/>
    <x v="1"/>
    <x v="8"/>
  </r>
  <r>
    <x v="209"/>
    <x v="0"/>
    <x v="5"/>
    <x v="6"/>
    <x v="0"/>
    <x v="192"/>
    <x v="200"/>
    <x v="186"/>
    <x v="3"/>
    <x v="0"/>
    <x v="1"/>
    <x v="191"/>
  </r>
  <r>
    <x v="210"/>
    <x v="0"/>
    <x v="6"/>
    <x v="7"/>
    <x v="35"/>
    <x v="193"/>
    <x v="201"/>
    <x v="187"/>
    <x v="5"/>
    <x v="1"/>
    <x v="2"/>
    <x v="192"/>
  </r>
  <r>
    <x v="211"/>
    <x v="0"/>
    <x v="5"/>
    <x v="0"/>
    <x v="0"/>
    <x v="194"/>
    <x v="202"/>
    <x v="188"/>
    <x v="3"/>
    <x v="0"/>
    <x v="2"/>
    <x v="193"/>
  </r>
  <r>
    <x v="212"/>
    <x v="0"/>
    <x v="10"/>
    <x v="0"/>
    <x v="0"/>
    <x v="195"/>
    <x v="203"/>
    <x v="189"/>
    <x v="8"/>
    <x v="2"/>
    <x v="1"/>
    <x v="194"/>
  </r>
  <r>
    <x v="213"/>
    <x v="0"/>
    <x v="10"/>
    <x v="6"/>
    <x v="43"/>
    <x v="196"/>
    <x v="204"/>
    <x v="72"/>
    <x v="1"/>
    <x v="2"/>
    <x v="3"/>
    <x v="195"/>
  </r>
  <r>
    <x v="214"/>
    <x v="0"/>
    <x v="7"/>
    <x v="4"/>
    <x v="19"/>
    <x v="197"/>
    <x v="205"/>
    <x v="190"/>
    <x v="1"/>
    <x v="2"/>
    <x v="1"/>
    <x v="196"/>
  </r>
  <r>
    <x v="215"/>
    <x v="0"/>
    <x v="7"/>
    <x v="1"/>
    <x v="0"/>
    <x v="198"/>
    <x v="206"/>
    <x v="191"/>
    <x v="10"/>
    <x v="1"/>
    <x v="1"/>
    <x v="8"/>
  </r>
  <r>
    <x v="216"/>
    <x v="0"/>
    <x v="0"/>
    <x v="5"/>
    <x v="17"/>
    <x v="199"/>
    <x v="207"/>
    <x v="192"/>
    <x v="3"/>
    <x v="2"/>
    <x v="2"/>
    <x v="197"/>
  </r>
  <r>
    <x v="217"/>
    <x v="0"/>
    <x v="1"/>
    <x v="5"/>
    <x v="28"/>
    <x v="200"/>
    <x v="208"/>
    <x v="193"/>
    <x v="3"/>
    <x v="1"/>
    <x v="2"/>
    <x v="8"/>
  </r>
  <r>
    <x v="218"/>
    <x v="0"/>
    <x v="14"/>
    <x v="0"/>
    <x v="44"/>
    <x v="201"/>
    <x v="209"/>
    <x v="37"/>
    <x v="2"/>
    <x v="1"/>
    <x v="3"/>
    <x v="198"/>
  </r>
  <r>
    <x v="219"/>
    <x v="0"/>
    <x v="2"/>
    <x v="5"/>
    <x v="0"/>
    <x v="202"/>
    <x v="210"/>
    <x v="194"/>
    <x v="7"/>
    <x v="0"/>
    <x v="2"/>
    <x v="199"/>
  </r>
  <r>
    <x v="220"/>
    <x v="0"/>
    <x v="3"/>
    <x v="1"/>
    <x v="40"/>
    <x v="203"/>
    <x v="211"/>
    <x v="195"/>
    <x v="8"/>
    <x v="0"/>
    <x v="0"/>
    <x v="200"/>
  </r>
  <r>
    <x v="221"/>
    <x v="0"/>
    <x v="1"/>
    <x v="4"/>
    <x v="0"/>
    <x v="7"/>
    <x v="22"/>
    <x v="196"/>
    <x v="2"/>
    <x v="0"/>
    <x v="1"/>
    <x v="201"/>
  </r>
  <r>
    <x v="222"/>
    <x v="0"/>
    <x v="0"/>
    <x v="4"/>
    <x v="0"/>
    <x v="204"/>
    <x v="212"/>
    <x v="142"/>
    <x v="1"/>
    <x v="1"/>
    <x v="0"/>
    <x v="202"/>
  </r>
  <r>
    <x v="223"/>
    <x v="0"/>
    <x v="17"/>
    <x v="3"/>
    <x v="45"/>
    <x v="205"/>
    <x v="213"/>
    <x v="70"/>
    <x v="6"/>
    <x v="1"/>
    <x v="1"/>
    <x v="203"/>
  </r>
  <r>
    <x v="224"/>
    <x v="0"/>
    <x v="18"/>
    <x v="5"/>
    <x v="0"/>
    <x v="206"/>
    <x v="214"/>
    <x v="123"/>
    <x v="3"/>
    <x v="0"/>
    <x v="2"/>
    <x v="204"/>
  </r>
  <r>
    <x v="225"/>
    <x v="0"/>
    <x v="13"/>
    <x v="0"/>
    <x v="0"/>
    <x v="207"/>
    <x v="215"/>
    <x v="155"/>
    <x v="0"/>
    <x v="1"/>
    <x v="1"/>
    <x v="205"/>
  </r>
  <r>
    <x v="226"/>
    <x v="0"/>
    <x v="1"/>
    <x v="4"/>
    <x v="0"/>
    <x v="208"/>
    <x v="216"/>
    <x v="197"/>
    <x v="11"/>
    <x v="1"/>
    <x v="1"/>
    <x v="206"/>
  </r>
  <r>
    <x v="227"/>
    <x v="0"/>
    <x v="5"/>
    <x v="5"/>
    <x v="0"/>
    <x v="209"/>
    <x v="217"/>
    <x v="196"/>
    <x v="2"/>
    <x v="0"/>
    <x v="0"/>
    <x v="207"/>
  </r>
  <r>
    <x v="228"/>
    <x v="0"/>
    <x v="1"/>
    <x v="2"/>
    <x v="0"/>
    <x v="210"/>
    <x v="218"/>
    <x v="198"/>
    <x v="3"/>
    <x v="0"/>
    <x v="1"/>
    <x v="208"/>
  </r>
  <r>
    <x v="229"/>
    <x v="0"/>
    <x v="14"/>
    <x v="6"/>
    <x v="0"/>
    <x v="211"/>
    <x v="219"/>
    <x v="199"/>
    <x v="6"/>
    <x v="1"/>
    <x v="0"/>
    <x v="8"/>
  </r>
  <r>
    <x v="230"/>
    <x v="0"/>
    <x v="4"/>
    <x v="6"/>
    <x v="43"/>
    <x v="212"/>
    <x v="220"/>
    <x v="200"/>
    <x v="7"/>
    <x v="1"/>
    <x v="3"/>
    <x v="209"/>
  </r>
  <r>
    <x v="231"/>
    <x v="0"/>
    <x v="18"/>
    <x v="3"/>
    <x v="0"/>
    <x v="213"/>
    <x v="221"/>
    <x v="201"/>
    <x v="3"/>
    <x v="1"/>
    <x v="1"/>
    <x v="210"/>
  </r>
  <r>
    <x v="232"/>
    <x v="0"/>
    <x v="9"/>
    <x v="7"/>
    <x v="0"/>
    <x v="214"/>
    <x v="222"/>
    <x v="202"/>
    <x v="1"/>
    <x v="2"/>
    <x v="1"/>
    <x v="211"/>
  </r>
  <r>
    <x v="233"/>
    <x v="0"/>
    <x v="15"/>
    <x v="1"/>
    <x v="46"/>
    <x v="215"/>
    <x v="223"/>
    <x v="203"/>
    <x v="6"/>
    <x v="2"/>
    <x v="3"/>
    <x v="212"/>
  </r>
  <r>
    <x v="234"/>
    <x v="0"/>
    <x v="2"/>
    <x v="0"/>
    <x v="0"/>
    <x v="7"/>
    <x v="22"/>
    <x v="204"/>
    <x v="2"/>
    <x v="1"/>
    <x v="0"/>
    <x v="213"/>
  </r>
  <r>
    <x v="235"/>
    <x v="0"/>
    <x v="1"/>
    <x v="2"/>
    <x v="0"/>
    <x v="216"/>
    <x v="224"/>
    <x v="205"/>
    <x v="4"/>
    <x v="0"/>
    <x v="1"/>
    <x v="214"/>
  </r>
  <r>
    <x v="236"/>
    <x v="0"/>
    <x v="11"/>
    <x v="0"/>
    <x v="24"/>
    <x v="217"/>
    <x v="225"/>
    <x v="100"/>
    <x v="7"/>
    <x v="0"/>
    <x v="2"/>
    <x v="215"/>
  </r>
  <r>
    <x v="237"/>
    <x v="0"/>
    <x v="7"/>
    <x v="2"/>
    <x v="0"/>
    <x v="218"/>
    <x v="226"/>
    <x v="206"/>
    <x v="11"/>
    <x v="1"/>
    <x v="0"/>
    <x v="8"/>
  </r>
  <r>
    <x v="238"/>
    <x v="0"/>
    <x v="1"/>
    <x v="6"/>
    <x v="0"/>
    <x v="219"/>
    <x v="227"/>
    <x v="207"/>
    <x v="9"/>
    <x v="0"/>
    <x v="1"/>
    <x v="216"/>
  </r>
  <r>
    <x v="239"/>
    <x v="0"/>
    <x v="15"/>
    <x v="3"/>
    <x v="0"/>
    <x v="220"/>
    <x v="228"/>
    <x v="200"/>
    <x v="7"/>
    <x v="1"/>
    <x v="1"/>
    <x v="217"/>
  </r>
  <r>
    <x v="240"/>
    <x v="0"/>
    <x v="0"/>
    <x v="1"/>
    <x v="0"/>
    <x v="221"/>
    <x v="229"/>
    <x v="208"/>
    <x v="2"/>
    <x v="1"/>
    <x v="1"/>
    <x v="218"/>
  </r>
  <r>
    <x v="241"/>
    <x v="0"/>
    <x v="0"/>
    <x v="6"/>
    <x v="0"/>
    <x v="222"/>
    <x v="230"/>
    <x v="209"/>
    <x v="3"/>
    <x v="1"/>
    <x v="3"/>
    <x v="219"/>
  </r>
  <r>
    <x v="242"/>
    <x v="0"/>
    <x v="17"/>
    <x v="4"/>
    <x v="0"/>
    <x v="223"/>
    <x v="231"/>
    <x v="210"/>
    <x v="1"/>
    <x v="2"/>
    <x v="1"/>
    <x v="220"/>
  </r>
  <r>
    <x v="243"/>
    <x v="0"/>
    <x v="16"/>
    <x v="6"/>
    <x v="0"/>
    <x v="211"/>
    <x v="219"/>
    <x v="211"/>
    <x v="0"/>
    <x v="0"/>
    <x v="2"/>
    <x v="221"/>
  </r>
  <r>
    <x v="244"/>
    <x v="0"/>
    <x v="2"/>
    <x v="4"/>
    <x v="0"/>
    <x v="224"/>
    <x v="232"/>
    <x v="202"/>
    <x v="1"/>
    <x v="2"/>
    <x v="1"/>
    <x v="222"/>
  </r>
  <r>
    <x v="245"/>
    <x v="0"/>
    <x v="8"/>
    <x v="0"/>
    <x v="0"/>
    <x v="7"/>
    <x v="22"/>
    <x v="212"/>
    <x v="10"/>
    <x v="0"/>
    <x v="0"/>
    <x v="223"/>
  </r>
  <r>
    <x v="246"/>
    <x v="0"/>
    <x v="10"/>
    <x v="4"/>
    <x v="0"/>
    <x v="225"/>
    <x v="233"/>
    <x v="123"/>
    <x v="3"/>
    <x v="0"/>
    <x v="2"/>
    <x v="224"/>
  </r>
  <r>
    <x v="247"/>
    <x v="0"/>
    <x v="5"/>
    <x v="5"/>
    <x v="0"/>
    <x v="226"/>
    <x v="234"/>
    <x v="213"/>
    <x v="3"/>
    <x v="0"/>
    <x v="3"/>
    <x v="225"/>
  </r>
  <r>
    <x v="248"/>
    <x v="0"/>
    <x v="15"/>
    <x v="2"/>
    <x v="47"/>
    <x v="227"/>
    <x v="235"/>
    <x v="214"/>
    <x v="11"/>
    <x v="1"/>
    <x v="0"/>
    <x v="226"/>
  </r>
  <r>
    <x v="249"/>
    <x v="0"/>
    <x v="6"/>
    <x v="4"/>
    <x v="0"/>
    <x v="228"/>
    <x v="236"/>
    <x v="215"/>
    <x v="0"/>
    <x v="0"/>
    <x v="1"/>
    <x v="227"/>
  </r>
  <r>
    <x v="250"/>
    <x v="0"/>
    <x v="12"/>
    <x v="4"/>
    <x v="0"/>
    <x v="7"/>
    <x v="22"/>
    <x v="216"/>
    <x v="3"/>
    <x v="1"/>
    <x v="0"/>
    <x v="228"/>
  </r>
  <r>
    <x v="251"/>
    <x v="0"/>
    <x v="8"/>
    <x v="1"/>
    <x v="0"/>
    <x v="229"/>
    <x v="237"/>
    <x v="217"/>
    <x v="0"/>
    <x v="1"/>
    <x v="3"/>
    <x v="229"/>
  </r>
  <r>
    <x v="252"/>
    <x v="0"/>
    <x v="11"/>
    <x v="0"/>
    <x v="0"/>
    <x v="230"/>
    <x v="238"/>
    <x v="218"/>
    <x v="9"/>
    <x v="0"/>
    <x v="0"/>
    <x v="230"/>
  </r>
  <r>
    <x v="253"/>
    <x v="0"/>
    <x v="19"/>
    <x v="2"/>
    <x v="0"/>
    <x v="231"/>
    <x v="239"/>
    <x v="219"/>
    <x v="4"/>
    <x v="1"/>
    <x v="1"/>
    <x v="231"/>
  </r>
  <r>
    <x v="254"/>
    <x v="0"/>
    <x v="0"/>
    <x v="6"/>
    <x v="30"/>
    <x v="232"/>
    <x v="240"/>
    <x v="98"/>
    <x v="10"/>
    <x v="1"/>
    <x v="2"/>
    <x v="232"/>
  </r>
  <r>
    <x v="255"/>
    <x v="0"/>
    <x v="2"/>
    <x v="2"/>
    <x v="0"/>
    <x v="233"/>
    <x v="241"/>
    <x v="21"/>
    <x v="11"/>
    <x v="1"/>
    <x v="1"/>
    <x v="233"/>
  </r>
  <r>
    <x v="256"/>
    <x v="0"/>
    <x v="0"/>
    <x v="3"/>
    <x v="0"/>
    <x v="7"/>
    <x v="22"/>
    <x v="220"/>
    <x v="10"/>
    <x v="1"/>
    <x v="0"/>
    <x v="234"/>
  </r>
  <r>
    <x v="257"/>
    <x v="0"/>
    <x v="0"/>
    <x v="5"/>
    <x v="0"/>
    <x v="7"/>
    <x v="22"/>
    <x v="221"/>
    <x v="2"/>
    <x v="0"/>
    <x v="0"/>
    <x v="235"/>
  </r>
  <r>
    <x v="258"/>
    <x v="0"/>
    <x v="4"/>
    <x v="0"/>
    <x v="0"/>
    <x v="234"/>
    <x v="242"/>
    <x v="222"/>
    <x v="6"/>
    <x v="1"/>
    <x v="1"/>
    <x v="236"/>
  </r>
  <r>
    <x v="259"/>
    <x v="0"/>
    <x v="17"/>
    <x v="0"/>
    <x v="0"/>
    <x v="235"/>
    <x v="243"/>
    <x v="223"/>
    <x v="7"/>
    <x v="1"/>
    <x v="1"/>
    <x v="237"/>
  </r>
  <r>
    <x v="260"/>
    <x v="0"/>
    <x v="5"/>
    <x v="0"/>
    <x v="40"/>
    <x v="7"/>
    <x v="182"/>
    <x v="224"/>
    <x v="1"/>
    <x v="0"/>
    <x v="3"/>
    <x v="238"/>
  </r>
  <r>
    <x v="261"/>
    <x v="0"/>
    <x v="19"/>
    <x v="7"/>
    <x v="0"/>
    <x v="236"/>
    <x v="244"/>
    <x v="160"/>
    <x v="10"/>
    <x v="2"/>
    <x v="0"/>
    <x v="239"/>
  </r>
  <r>
    <x v="262"/>
    <x v="0"/>
    <x v="4"/>
    <x v="0"/>
    <x v="47"/>
    <x v="237"/>
    <x v="245"/>
    <x v="225"/>
    <x v="9"/>
    <x v="1"/>
    <x v="0"/>
    <x v="240"/>
  </r>
  <r>
    <x v="263"/>
    <x v="0"/>
    <x v="10"/>
    <x v="1"/>
    <x v="0"/>
    <x v="238"/>
    <x v="246"/>
    <x v="226"/>
    <x v="11"/>
    <x v="1"/>
    <x v="3"/>
    <x v="241"/>
  </r>
  <r>
    <x v="264"/>
    <x v="0"/>
    <x v="9"/>
    <x v="3"/>
    <x v="30"/>
    <x v="239"/>
    <x v="247"/>
    <x v="227"/>
    <x v="8"/>
    <x v="2"/>
    <x v="3"/>
    <x v="242"/>
  </r>
  <r>
    <x v="265"/>
    <x v="0"/>
    <x v="11"/>
    <x v="0"/>
    <x v="0"/>
    <x v="240"/>
    <x v="248"/>
    <x v="228"/>
    <x v="7"/>
    <x v="0"/>
    <x v="0"/>
    <x v="8"/>
  </r>
  <r>
    <x v="266"/>
    <x v="0"/>
    <x v="15"/>
    <x v="6"/>
    <x v="0"/>
    <x v="241"/>
    <x v="249"/>
    <x v="156"/>
    <x v="9"/>
    <x v="0"/>
    <x v="3"/>
    <x v="243"/>
  </r>
  <r>
    <x v="267"/>
    <x v="0"/>
    <x v="1"/>
    <x v="4"/>
    <x v="48"/>
    <x v="242"/>
    <x v="250"/>
    <x v="106"/>
    <x v="4"/>
    <x v="0"/>
    <x v="3"/>
    <x v="244"/>
  </r>
  <r>
    <x v="268"/>
    <x v="0"/>
    <x v="18"/>
    <x v="0"/>
    <x v="0"/>
    <x v="243"/>
    <x v="251"/>
    <x v="48"/>
    <x v="4"/>
    <x v="0"/>
    <x v="0"/>
    <x v="245"/>
  </r>
  <r>
    <x v="269"/>
    <x v="0"/>
    <x v="12"/>
    <x v="5"/>
    <x v="45"/>
    <x v="244"/>
    <x v="252"/>
    <x v="229"/>
    <x v="0"/>
    <x v="1"/>
    <x v="0"/>
    <x v="246"/>
  </r>
  <r>
    <x v="270"/>
    <x v="0"/>
    <x v="1"/>
    <x v="5"/>
    <x v="36"/>
    <x v="245"/>
    <x v="253"/>
    <x v="230"/>
    <x v="5"/>
    <x v="1"/>
    <x v="1"/>
    <x v="247"/>
  </r>
  <r>
    <x v="271"/>
    <x v="0"/>
    <x v="2"/>
    <x v="3"/>
    <x v="0"/>
    <x v="246"/>
    <x v="254"/>
    <x v="229"/>
    <x v="0"/>
    <x v="1"/>
    <x v="0"/>
    <x v="248"/>
  </r>
  <r>
    <x v="272"/>
    <x v="0"/>
    <x v="19"/>
    <x v="4"/>
    <x v="0"/>
    <x v="247"/>
    <x v="255"/>
    <x v="231"/>
    <x v="6"/>
    <x v="1"/>
    <x v="1"/>
    <x v="249"/>
  </r>
  <r>
    <x v="273"/>
    <x v="0"/>
    <x v="10"/>
    <x v="4"/>
    <x v="0"/>
    <x v="248"/>
    <x v="256"/>
    <x v="232"/>
    <x v="10"/>
    <x v="1"/>
    <x v="1"/>
    <x v="250"/>
  </r>
  <r>
    <x v="274"/>
    <x v="0"/>
    <x v="19"/>
    <x v="7"/>
    <x v="0"/>
    <x v="249"/>
    <x v="257"/>
    <x v="136"/>
    <x v="4"/>
    <x v="0"/>
    <x v="0"/>
    <x v="251"/>
  </r>
  <r>
    <x v="275"/>
    <x v="0"/>
    <x v="15"/>
    <x v="0"/>
    <x v="41"/>
    <x v="250"/>
    <x v="258"/>
    <x v="233"/>
    <x v="1"/>
    <x v="1"/>
    <x v="0"/>
    <x v="252"/>
  </r>
  <r>
    <x v="276"/>
    <x v="0"/>
    <x v="18"/>
    <x v="0"/>
    <x v="39"/>
    <x v="251"/>
    <x v="259"/>
    <x v="234"/>
    <x v="6"/>
    <x v="0"/>
    <x v="3"/>
    <x v="253"/>
  </r>
  <r>
    <x v="277"/>
    <x v="0"/>
    <x v="14"/>
    <x v="1"/>
    <x v="0"/>
    <x v="252"/>
    <x v="260"/>
    <x v="235"/>
    <x v="4"/>
    <x v="0"/>
    <x v="1"/>
    <x v="254"/>
  </r>
  <r>
    <x v="278"/>
    <x v="0"/>
    <x v="1"/>
    <x v="4"/>
    <x v="0"/>
    <x v="253"/>
    <x v="261"/>
    <x v="14"/>
    <x v="6"/>
    <x v="1"/>
    <x v="2"/>
    <x v="255"/>
  </r>
  <r>
    <x v="279"/>
    <x v="0"/>
    <x v="6"/>
    <x v="0"/>
    <x v="27"/>
    <x v="254"/>
    <x v="262"/>
    <x v="236"/>
    <x v="9"/>
    <x v="1"/>
    <x v="2"/>
    <x v="256"/>
  </r>
  <r>
    <x v="280"/>
    <x v="0"/>
    <x v="16"/>
    <x v="5"/>
    <x v="49"/>
    <x v="255"/>
    <x v="263"/>
    <x v="237"/>
    <x v="5"/>
    <x v="1"/>
    <x v="0"/>
    <x v="257"/>
  </r>
  <r>
    <x v="281"/>
    <x v="0"/>
    <x v="4"/>
    <x v="5"/>
    <x v="0"/>
    <x v="256"/>
    <x v="264"/>
    <x v="238"/>
    <x v="1"/>
    <x v="2"/>
    <x v="3"/>
    <x v="258"/>
  </r>
  <r>
    <x v="282"/>
    <x v="0"/>
    <x v="2"/>
    <x v="5"/>
    <x v="7"/>
    <x v="257"/>
    <x v="265"/>
    <x v="239"/>
    <x v="4"/>
    <x v="1"/>
    <x v="1"/>
    <x v="259"/>
  </r>
  <r>
    <x v="283"/>
    <x v="0"/>
    <x v="1"/>
    <x v="0"/>
    <x v="0"/>
    <x v="258"/>
    <x v="266"/>
    <x v="211"/>
    <x v="0"/>
    <x v="0"/>
    <x v="0"/>
    <x v="260"/>
  </r>
  <r>
    <x v="284"/>
    <x v="0"/>
    <x v="4"/>
    <x v="1"/>
    <x v="0"/>
    <x v="259"/>
    <x v="267"/>
    <x v="240"/>
    <x v="5"/>
    <x v="1"/>
    <x v="2"/>
    <x v="261"/>
  </r>
  <r>
    <x v="285"/>
    <x v="0"/>
    <x v="15"/>
    <x v="2"/>
    <x v="32"/>
    <x v="260"/>
    <x v="268"/>
    <x v="183"/>
    <x v="9"/>
    <x v="0"/>
    <x v="0"/>
    <x v="262"/>
  </r>
  <r>
    <x v="286"/>
    <x v="0"/>
    <x v="12"/>
    <x v="6"/>
    <x v="0"/>
    <x v="261"/>
    <x v="269"/>
    <x v="241"/>
    <x v="5"/>
    <x v="2"/>
    <x v="3"/>
    <x v="263"/>
  </r>
  <r>
    <x v="287"/>
    <x v="0"/>
    <x v="3"/>
    <x v="2"/>
    <x v="50"/>
    <x v="262"/>
    <x v="270"/>
    <x v="33"/>
    <x v="5"/>
    <x v="1"/>
    <x v="1"/>
    <x v="264"/>
  </r>
  <r>
    <x v="288"/>
    <x v="0"/>
    <x v="18"/>
    <x v="6"/>
    <x v="0"/>
    <x v="263"/>
    <x v="271"/>
    <x v="242"/>
    <x v="6"/>
    <x v="1"/>
    <x v="2"/>
    <x v="265"/>
  </r>
  <r>
    <x v="289"/>
    <x v="0"/>
    <x v="3"/>
    <x v="6"/>
    <x v="0"/>
    <x v="264"/>
    <x v="272"/>
    <x v="45"/>
    <x v="9"/>
    <x v="0"/>
    <x v="3"/>
    <x v="266"/>
  </r>
  <r>
    <x v="290"/>
    <x v="0"/>
    <x v="3"/>
    <x v="4"/>
    <x v="0"/>
    <x v="265"/>
    <x v="273"/>
    <x v="75"/>
    <x v="9"/>
    <x v="1"/>
    <x v="0"/>
    <x v="267"/>
  </r>
  <r>
    <x v="291"/>
    <x v="0"/>
    <x v="8"/>
    <x v="1"/>
    <x v="0"/>
    <x v="266"/>
    <x v="274"/>
    <x v="243"/>
    <x v="9"/>
    <x v="1"/>
    <x v="1"/>
    <x v="268"/>
  </r>
  <r>
    <x v="292"/>
    <x v="0"/>
    <x v="3"/>
    <x v="3"/>
    <x v="0"/>
    <x v="267"/>
    <x v="275"/>
    <x v="244"/>
    <x v="8"/>
    <x v="0"/>
    <x v="1"/>
    <x v="269"/>
  </r>
  <r>
    <x v="293"/>
    <x v="0"/>
    <x v="9"/>
    <x v="4"/>
    <x v="51"/>
    <x v="268"/>
    <x v="276"/>
    <x v="189"/>
    <x v="8"/>
    <x v="2"/>
    <x v="1"/>
    <x v="270"/>
  </r>
  <r>
    <x v="294"/>
    <x v="0"/>
    <x v="12"/>
    <x v="4"/>
    <x v="52"/>
    <x v="7"/>
    <x v="277"/>
    <x v="245"/>
    <x v="1"/>
    <x v="1"/>
    <x v="0"/>
    <x v="271"/>
  </r>
  <r>
    <x v="295"/>
    <x v="0"/>
    <x v="13"/>
    <x v="7"/>
    <x v="0"/>
    <x v="269"/>
    <x v="278"/>
    <x v="245"/>
    <x v="1"/>
    <x v="1"/>
    <x v="1"/>
    <x v="272"/>
  </r>
  <r>
    <x v="296"/>
    <x v="0"/>
    <x v="9"/>
    <x v="3"/>
    <x v="0"/>
    <x v="270"/>
    <x v="279"/>
    <x v="38"/>
    <x v="3"/>
    <x v="1"/>
    <x v="3"/>
    <x v="273"/>
  </r>
  <r>
    <x v="297"/>
    <x v="0"/>
    <x v="16"/>
    <x v="3"/>
    <x v="0"/>
    <x v="271"/>
    <x v="280"/>
    <x v="246"/>
    <x v="11"/>
    <x v="0"/>
    <x v="3"/>
    <x v="274"/>
  </r>
  <r>
    <x v="298"/>
    <x v="0"/>
    <x v="2"/>
    <x v="4"/>
    <x v="0"/>
    <x v="272"/>
    <x v="281"/>
    <x v="247"/>
    <x v="7"/>
    <x v="1"/>
    <x v="2"/>
    <x v="275"/>
  </r>
  <r>
    <x v="299"/>
    <x v="0"/>
    <x v="6"/>
    <x v="7"/>
    <x v="0"/>
    <x v="7"/>
    <x v="22"/>
    <x v="248"/>
    <x v="9"/>
    <x v="0"/>
    <x v="1"/>
    <x v="276"/>
  </r>
  <r>
    <x v="300"/>
    <x v="0"/>
    <x v="14"/>
    <x v="4"/>
    <x v="0"/>
    <x v="273"/>
    <x v="282"/>
    <x v="0"/>
    <x v="0"/>
    <x v="0"/>
    <x v="1"/>
    <x v="277"/>
  </r>
  <r>
    <x v="301"/>
    <x v="0"/>
    <x v="17"/>
    <x v="5"/>
    <x v="0"/>
    <x v="274"/>
    <x v="283"/>
    <x v="97"/>
    <x v="6"/>
    <x v="1"/>
    <x v="2"/>
    <x v="278"/>
  </r>
  <r>
    <x v="302"/>
    <x v="0"/>
    <x v="0"/>
    <x v="7"/>
    <x v="0"/>
    <x v="275"/>
    <x v="284"/>
    <x v="87"/>
    <x v="0"/>
    <x v="1"/>
    <x v="3"/>
    <x v="279"/>
  </r>
  <r>
    <x v="303"/>
    <x v="0"/>
    <x v="6"/>
    <x v="1"/>
    <x v="0"/>
    <x v="276"/>
    <x v="285"/>
    <x v="52"/>
    <x v="8"/>
    <x v="2"/>
    <x v="0"/>
    <x v="280"/>
  </r>
  <r>
    <x v="304"/>
    <x v="0"/>
    <x v="2"/>
    <x v="3"/>
    <x v="0"/>
    <x v="277"/>
    <x v="286"/>
    <x v="193"/>
    <x v="3"/>
    <x v="1"/>
    <x v="1"/>
    <x v="281"/>
  </r>
  <r>
    <x v="305"/>
    <x v="0"/>
    <x v="2"/>
    <x v="1"/>
    <x v="0"/>
    <x v="203"/>
    <x v="287"/>
    <x v="249"/>
    <x v="1"/>
    <x v="2"/>
    <x v="3"/>
    <x v="282"/>
  </r>
  <r>
    <x v="306"/>
    <x v="0"/>
    <x v="3"/>
    <x v="0"/>
    <x v="53"/>
    <x v="278"/>
    <x v="288"/>
    <x v="250"/>
    <x v="11"/>
    <x v="2"/>
    <x v="0"/>
    <x v="8"/>
  </r>
  <r>
    <x v="307"/>
    <x v="0"/>
    <x v="8"/>
    <x v="1"/>
    <x v="0"/>
    <x v="279"/>
    <x v="289"/>
    <x v="163"/>
    <x v="0"/>
    <x v="1"/>
    <x v="2"/>
    <x v="283"/>
  </r>
  <r>
    <x v="308"/>
    <x v="0"/>
    <x v="10"/>
    <x v="5"/>
    <x v="1"/>
    <x v="280"/>
    <x v="290"/>
    <x v="235"/>
    <x v="4"/>
    <x v="0"/>
    <x v="1"/>
    <x v="284"/>
  </r>
  <r>
    <x v="309"/>
    <x v="0"/>
    <x v="14"/>
    <x v="5"/>
    <x v="0"/>
    <x v="281"/>
    <x v="291"/>
    <x v="251"/>
    <x v="0"/>
    <x v="2"/>
    <x v="1"/>
    <x v="285"/>
  </r>
  <r>
    <x v="310"/>
    <x v="0"/>
    <x v="9"/>
    <x v="7"/>
    <x v="48"/>
    <x v="7"/>
    <x v="292"/>
    <x v="154"/>
    <x v="1"/>
    <x v="0"/>
    <x v="3"/>
    <x v="286"/>
  </r>
  <r>
    <x v="311"/>
    <x v="0"/>
    <x v="19"/>
    <x v="4"/>
    <x v="0"/>
    <x v="282"/>
    <x v="293"/>
    <x v="252"/>
    <x v="4"/>
    <x v="1"/>
    <x v="0"/>
    <x v="287"/>
  </r>
  <r>
    <x v="312"/>
    <x v="0"/>
    <x v="14"/>
    <x v="3"/>
    <x v="0"/>
    <x v="283"/>
    <x v="294"/>
    <x v="253"/>
    <x v="1"/>
    <x v="1"/>
    <x v="1"/>
    <x v="288"/>
  </r>
  <r>
    <x v="313"/>
    <x v="0"/>
    <x v="17"/>
    <x v="2"/>
    <x v="0"/>
    <x v="284"/>
    <x v="295"/>
    <x v="254"/>
    <x v="1"/>
    <x v="2"/>
    <x v="2"/>
    <x v="289"/>
  </r>
  <r>
    <x v="314"/>
    <x v="0"/>
    <x v="18"/>
    <x v="7"/>
    <x v="0"/>
    <x v="285"/>
    <x v="296"/>
    <x v="255"/>
    <x v="7"/>
    <x v="1"/>
    <x v="3"/>
    <x v="290"/>
  </r>
  <r>
    <x v="315"/>
    <x v="0"/>
    <x v="0"/>
    <x v="4"/>
    <x v="54"/>
    <x v="286"/>
    <x v="297"/>
    <x v="111"/>
    <x v="11"/>
    <x v="0"/>
    <x v="1"/>
    <x v="8"/>
  </r>
  <r>
    <x v="316"/>
    <x v="0"/>
    <x v="18"/>
    <x v="0"/>
    <x v="0"/>
    <x v="287"/>
    <x v="298"/>
    <x v="256"/>
    <x v="2"/>
    <x v="1"/>
    <x v="0"/>
    <x v="291"/>
  </r>
  <r>
    <x v="317"/>
    <x v="0"/>
    <x v="0"/>
    <x v="1"/>
    <x v="29"/>
    <x v="203"/>
    <x v="299"/>
    <x v="257"/>
    <x v="2"/>
    <x v="1"/>
    <x v="1"/>
    <x v="292"/>
  </r>
  <r>
    <x v="318"/>
    <x v="0"/>
    <x v="13"/>
    <x v="0"/>
    <x v="0"/>
    <x v="288"/>
    <x v="300"/>
    <x v="258"/>
    <x v="4"/>
    <x v="1"/>
    <x v="1"/>
    <x v="293"/>
  </r>
  <r>
    <x v="319"/>
    <x v="0"/>
    <x v="14"/>
    <x v="1"/>
    <x v="0"/>
    <x v="203"/>
    <x v="287"/>
    <x v="259"/>
    <x v="8"/>
    <x v="1"/>
    <x v="0"/>
    <x v="294"/>
  </r>
  <r>
    <x v="320"/>
    <x v="0"/>
    <x v="8"/>
    <x v="0"/>
    <x v="0"/>
    <x v="289"/>
    <x v="301"/>
    <x v="260"/>
    <x v="0"/>
    <x v="0"/>
    <x v="3"/>
    <x v="295"/>
  </r>
  <r>
    <x v="321"/>
    <x v="0"/>
    <x v="13"/>
    <x v="0"/>
    <x v="0"/>
    <x v="290"/>
    <x v="302"/>
    <x v="235"/>
    <x v="4"/>
    <x v="0"/>
    <x v="1"/>
    <x v="296"/>
  </r>
  <r>
    <x v="322"/>
    <x v="0"/>
    <x v="4"/>
    <x v="2"/>
    <x v="43"/>
    <x v="291"/>
    <x v="303"/>
    <x v="123"/>
    <x v="3"/>
    <x v="0"/>
    <x v="2"/>
    <x v="297"/>
  </r>
  <r>
    <x v="323"/>
    <x v="0"/>
    <x v="13"/>
    <x v="6"/>
    <x v="0"/>
    <x v="292"/>
    <x v="304"/>
    <x v="261"/>
    <x v="10"/>
    <x v="2"/>
    <x v="1"/>
    <x v="298"/>
  </r>
  <r>
    <x v="324"/>
    <x v="0"/>
    <x v="18"/>
    <x v="5"/>
    <x v="0"/>
    <x v="293"/>
    <x v="305"/>
    <x v="262"/>
    <x v="8"/>
    <x v="1"/>
    <x v="1"/>
    <x v="299"/>
  </r>
  <r>
    <x v="325"/>
    <x v="0"/>
    <x v="1"/>
    <x v="2"/>
    <x v="28"/>
    <x v="294"/>
    <x v="306"/>
    <x v="263"/>
    <x v="3"/>
    <x v="1"/>
    <x v="0"/>
    <x v="300"/>
  </r>
  <r>
    <x v="326"/>
    <x v="0"/>
    <x v="18"/>
    <x v="7"/>
    <x v="0"/>
    <x v="295"/>
    <x v="307"/>
    <x v="264"/>
    <x v="11"/>
    <x v="2"/>
    <x v="2"/>
    <x v="301"/>
  </r>
  <r>
    <x v="327"/>
    <x v="0"/>
    <x v="8"/>
    <x v="1"/>
    <x v="55"/>
    <x v="296"/>
    <x v="308"/>
    <x v="265"/>
    <x v="3"/>
    <x v="0"/>
    <x v="1"/>
    <x v="302"/>
  </r>
  <r>
    <x v="328"/>
    <x v="0"/>
    <x v="5"/>
    <x v="2"/>
    <x v="0"/>
    <x v="8"/>
    <x v="8"/>
    <x v="184"/>
    <x v="4"/>
    <x v="1"/>
    <x v="3"/>
    <x v="303"/>
  </r>
  <r>
    <x v="329"/>
    <x v="0"/>
    <x v="13"/>
    <x v="5"/>
    <x v="56"/>
    <x v="297"/>
    <x v="309"/>
    <x v="266"/>
    <x v="8"/>
    <x v="1"/>
    <x v="0"/>
    <x v="304"/>
  </r>
  <r>
    <x v="330"/>
    <x v="0"/>
    <x v="18"/>
    <x v="6"/>
    <x v="0"/>
    <x v="298"/>
    <x v="310"/>
    <x v="186"/>
    <x v="3"/>
    <x v="0"/>
    <x v="1"/>
    <x v="305"/>
  </r>
  <r>
    <x v="331"/>
    <x v="0"/>
    <x v="0"/>
    <x v="7"/>
    <x v="57"/>
    <x v="299"/>
    <x v="311"/>
    <x v="267"/>
    <x v="1"/>
    <x v="1"/>
    <x v="1"/>
    <x v="306"/>
  </r>
  <r>
    <x v="332"/>
    <x v="0"/>
    <x v="2"/>
    <x v="1"/>
    <x v="0"/>
    <x v="300"/>
    <x v="312"/>
    <x v="268"/>
    <x v="2"/>
    <x v="0"/>
    <x v="0"/>
    <x v="307"/>
  </r>
  <r>
    <x v="333"/>
    <x v="0"/>
    <x v="16"/>
    <x v="3"/>
    <x v="0"/>
    <x v="301"/>
    <x v="313"/>
    <x v="149"/>
    <x v="9"/>
    <x v="2"/>
    <x v="1"/>
    <x v="308"/>
  </r>
  <r>
    <x v="334"/>
    <x v="0"/>
    <x v="2"/>
    <x v="0"/>
    <x v="21"/>
    <x v="302"/>
    <x v="314"/>
    <x v="29"/>
    <x v="4"/>
    <x v="1"/>
    <x v="0"/>
    <x v="309"/>
  </r>
  <r>
    <x v="335"/>
    <x v="0"/>
    <x v="16"/>
    <x v="2"/>
    <x v="0"/>
    <x v="303"/>
    <x v="315"/>
    <x v="269"/>
    <x v="6"/>
    <x v="1"/>
    <x v="0"/>
    <x v="310"/>
  </r>
  <r>
    <x v="336"/>
    <x v="0"/>
    <x v="10"/>
    <x v="5"/>
    <x v="0"/>
    <x v="304"/>
    <x v="316"/>
    <x v="235"/>
    <x v="4"/>
    <x v="0"/>
    <x v="2"/>
    <x v="311"/>
  </r>
  <r>
    <x v="337"/>
    <x v="0"/>
    <x v="8"/>
    <x v="6"/>
    <x v="58"/>
    <x v="305"/>
    <x v="317"/>
    <x v="270"/>
    <x v="1"/>
    <x v="1"/>
    <x v="1"/>
    <x v="312"/>
  </r>
  <r>
    <x v="338"/>
    <x v="0"/>
    <x v="10"/>
    <x v="4"/>
    <x v="0"/>
    <x v="306"/>
    <x v="318"/>
    <x v="243"/>
    <x v="9"/>
    <x v="1"/>
    <x v="1"/>
    <x v="313"/>
  </r>
  <r>
    <x v="339"/>
    <x v="0"/>
    <x v="14"/>
    <x v="2"/>
    <x v="0"/>
    <x v="307"/>
    <x v="319"/>
    <x v="271"/>
    <x v="1"/>
    <x v="2"/>
    <x v="3"/>
    <x v="8"/>
  </r>
  <r>
    <x v="340"/>
    <x v="0"/>
    <x v="15"/>
    <x v="3"/>
    <x v="0"/>
    <x v="308"/>
    <x v="320"/>
    <x v="272"/>
    <x v="4"/>
    <x v="1"/>
    <x v="1"/>
    <x v="314"/>
  </r>
  <r>
    <x v="341"/>
    <x v="0"/>
    <x v="17"/>
    <x v="1"/>
    <x v="0"/>
    <x v="309"/>
    <x v="321"/>
    <x v="273"/>
    <x v="1"/>
    <x v="2"/>
    <x v="0"/>
    <x v="315"/>
  </r>
  <r>
    <x v="341"/>
    <x v="0"/>
    <x v="6"/>
    <x v="3"/>
    <x v="0"/>
    <x v="310"/>
    <x v="322"/>
    <x v="274"/>
    <x v="7"/>
    <x v="2"/>
    <x v="1"/>
    <x v="316"/>
  </r>
  <r>
    <x v="342"/>
    <x v="0"/>
    <x v="19"/>
    <x v="1"/>
    <x v="0"/>
    <x v="311"/>
    <x v="323"/>
    <x v="275"/>
    <x v="11"/>
    <x v="1"/>
    <x v="0"/>
    <x v="317"/>
  </r>
  <r>
    <x v="343"/>
    <x v="0"/>
    <x v="11"/>
    <x v="1"/>
    <x v="0"/>
    <x v="312"/>
    <x v="324"/>
    <x v="21"/>
    <x v="11"/>
    <x v="1"/>
    <x v="3"/>
    <x v="318"/>
  </r>
  <r>
    <x v="344"/>
    <x v="0"/>
    <x v="19"/>
    <x v="6"/>
    <x v="1"/>
    <x v="211"/>
    <x v="325"/>
    <x v="132"/>
    <x v="10"/>
    <x v="1"/>
    <x v="0"/>
    <x v="8"/>
  </r>
  <r>
    <x v="345"/>
    <x v="0"/>
    <x v="6"/>
    <x v="1"/>
    <x v="0"/>
    <x v="313"/>
    <x v="326"/>
    <x v="276"/>
    <x v="10"/>
    <x v="2"/>
    <x v="2"/>
    <x v="8"/>
  </r>
  <r>
    <x v="346"/>
    <x v="0"/>
    <x v="6"/>
    <x v="2"/>
    <x v="0"/>
    <x v="314"/>
    <x v="327"/>
    <x v="277"/>
    <x v="10"/>
    <x v="2"/>
    <x v="1"/>
    <x v="319"/>
  </r>
  <r>
    <x v="347"/>
    <x v="0"/>
    <x v="17"/>
    <x v="5"/>
    <x v="0"/>
    <x v="7"/>
    <x v="22"/>
    <x v="278"/>
    <x v="2"/>
    <x v="0"/>
    <x v="1"/>
    <x v="320"/>
  </r>
  <r>
    <x v="348"/>
    <x v="0"/>
    <x v="6"/>
    <x v="3"/>
    <x v="0"/>
    <x v="315"/>
    <x v="328"/>
    <x v="139"/>
    <x v="5"/>
    <x v="1"/>
    <x v="3"/>
    <x v="321"/>
  </r>
  <r>
    <x v="349"/>
    <x v="0"/>
    <x v="12"/>
    <x v="5"/>
    <x v="0"/>
    <x v="316"/>
    <x v="329"/>
    <x v="12"/>
    <x v="7"/>
    <x v="1"/>
    <x v="2"/>
    <x v="322"/>
  </r>
  <r>
    <x v="350"/>
    <x v="0"/>
    <x v="13"/>
    <x v="5"/>
    <x v="3"/>
    <x v="7"/>
    <x v="330"/>
    <x v="58"/>
    <x v="5"/>
    <x v="1"/>
    <x v="1"/>
    <x v="323"/>
  </r>
  <r>
    <x v="351"/>
    <x v="0"/>
    <x v="10"/>
    <x v="5"/>
    <x v="59"/>
    <x v="317"/>
    <x v="331"/>
    <x v="50"/>
    <x v="0"/>
    <x v="0"/>
    <x v="2"/>
    <x v="324"/>
  </r>
  <r>
    <x v="352"/>
    <x v="0"/>
    <x v="9"/>
    <x v="1"/>
    <x v="0"/>
    <x v="318"/>
    <x v="332"/>
    <x v="279"/>
    <x v="6"/>
    <x v="2"/>
    <x v="2"/>
    <x v="325"/>
  </r>
  <r>
    <x v="353"/>
    <x v="0"/>
    <x v="9"/>
    <x v="2"/>
    <x v="18"/>
    <x v="319"/>
    <x v="333"/>
    <x v="280"/>
    <x v="0"/>
    <x v="1"/>
    <x v="1"/>
    <x v="326"/>
  </r>
  <r>
    <x v="354"/>
    <x v="0"/>
    <x v="4"/>
    <x v="0"/>
    <x v="0"/>
    <x v="320"/>
    <x v="334"/>
    <x v="281"/>
    <x v="10"/>
    <x v="1"/>
    <x v="1"/>
    <x v="327"/>
  </r>
  <r>
    <x v="355"/>
    <x v="0"/>
    <x v="6"/>
    <x v="2"/>
    <x v="0"/>
    <x v="8"/>
    <x v="8"/>
    <x v="282"/>
    <x v="9"/>
    <x v="1"/>
    <x v="3"/>
    <x v="328"/>
  </r>
  <r>
    <x v="356"/>
    <x v="0"/>
    <x v="11"/>
    <x v="4"/>
    <x v="0"/>
    <x v="321"/>
    <x v="335"/>
    <x v="283"/>
    <x v="6"/>
    <x v="1"/>
    <x v="1"/>
    <x v="329"/>
  </r>
  <r>
    <x v="357"/>
    <x v="0"/>
    <x v="19"/>
    <x v="5"/>
    <x v="0"/>
    <x v="322"/>
    <x v="336"/>
    <x v="254"/>
    <x v="1"/>
    <x v="2"/>
    <x v="3"/>
    <x v="330"/>
  </r>
  <r>
    <x v="358"/>
    <x v="0"/>
    <x v="1"/>
    <x v="4"/>
    <x v="3"/>
    <x v="323"/>
    <x v="337"/>
    <x v="284"/>
    <x v="0"/>
    <x v="0"/>
    <x v="1"/>
    <x v="331"/>
  </r>
  <r>
    <x v="359"/>
    <x v="0"/>
    <x v="18"/>
    <x v="4"/>
    <x v="0"/>
    <x v="324"/>
    <x v="338"/>
    <x v="52"/>
    <x v="8"/>
    <x v="2"/>
    <x v="1"/>
    <x v="332"/>
  </r>
  <r>
    <x v="360"/>
    <x v="0"/>
    <x v="17"/>
    <x v="2"/>
    <x v="0"/>
    <x v="325"/>
    <x v="339"/>
    <x v="285"/>
    <x v="3"/>
    <x v="0"/>
    <x v="2"/>
    <x v="333"/>
  </r>
  <r>
    <x v="361"/>
    <x v="0"/>
    <x v="6"/>
    <x v="6"/>
    <x v="0"/>
    <x v="326"/>
    <x v="340"/>
    <x v="286"/>
    <x v="9"/>
    <x v="0"/>
    <x v="1"/>
    <x v="334"/>
  </r>
  <r>
    <x v="362"/>
    <x v="0"/>
    <x v="9"/>
    <x v="4"/>
    <x v="60"/>
    <x v="327"/>
    <x v="341"/>
    <x v="287"/>
    <x v="1"/>
    <x v="2"/>
    <x v="1"/>
    <x v="8"/>
  </r>
  <r>
    <x v="363"/>
    <x v="0"/>
    <x v="17"/>
    <x v="1"/>
    <x v="20"/>
    <x v="328"/>
    <x v="342"/>
    <x v="78"/>
    <x v="6"/>
    <x v="1"/>
    <x v="2"/>
    <x v="335"/>
  </r>
  <r>
    <x v="364"/>
    <x v="0"/>
    <x v="16"/>
    <x v="3"/>
    <x v="0"/>
    <x v="329"/>
    <x v="343"/>
    <x v="288"/>
    <x v="10"/>
    <x v="1"/>
    <x v="0"/>
    <x v="336"/>
  </r>
  <r>
    <x v="365"/>
    <x v="0"/>
    <x v="14"/>
    <x v="1"/>
    <x v="0"/>
    <x v="330"/>
    <x v="344"/>
    <x v="212"/>
    <x v="10"/>
    <x v="0"/>
    <x v="1"/>
    <x v="337"/>
  </r>
  <r>
    <x v="366"/>
    <x v="0"/>
    <x v="13"/>
    <x v="3"/>
    <x v="37"/>
    <x v="331"/>
    <x v="345"/>
    <x v="289"/>
    <x v="0"/>
    <x v="0"/>
    <x v="0"/>
    <x v="338"/>
  </r>
  <r>
    <x v="367"/>
    <x v="0"/>
    <x v="8"/>
    <x v="3"/>
    <x v="0"/>
    <x v="332"/>
    <x v="346"/>
    <x v="290"/>
    <x v="3"/>
    <x v="0"/>
    <x v="0"/>
    <x v="339"/>
  </r>
  <r>
    <x v="368"/>
    <x v="0"/>
    <x v="12"/>
    <x v="5"/>
    <x v="0"/>
    <x v="333"/>
    <x v="347"/>
    <x v="38"/>
    <x v="3"/>
    <x v="1"/>
    <x v="1"/>
    <x v="340"/>
  </r>
  <r>
    <x v="369"/>
    <x v="0"/>
    <x v="18"/>
    <x v="0"/>
    <x v="32"/>
    <x v="334"/>
    <x v="348"/>
    <x v="291"/>
    <x v="0"/>
    <x v="2"/>
    <x v="2"/>
    <x v="341"/>
  </r>
  <r>
    <x v="370"/>
    <x v="0"/>
    <x v="4"/>
    <x v="0"/>
    <x v="0"/>
    <x v="335"/>
    <x v="349"/>
    <x v="52"/>
    <x v="8"/>
    <x v="2"/>
    <x v="2"/>
    <x v="342"/>
  </r>
  <r>
    <x v="371"/>
    <x v="0"/>
    <x v="13"/>
    <x v="7"/>
    <x v="0"/>
    <x v="336"/>
    <x v="350"/>
    <x v="292"/>
    <x v="0"/>
    <x v="0"/>
    <x v="0"/>
    <x v="343"/>
  </r>
  <r>
    <x v="372"/>
    <x v="0"/>
    <x v="7"/>
    <x v="4"/>
    <x v="0"/>
    <x v="337"/>
    <x v="351"/>
    <x v="167"/>
    <x v="5"/>
    <x v="1"/>
    <x v="1"/>
    <x v="344"/>
  </r>
  <r>
    <x v="373"/>
    <x v="0"/>
    <x v="14"/>
    <x v="0"/>
    <x v="0"/>
    <x v="338"/>
    <x v="352"/>
    <x v="293"/>
    <x v="5"/>
    <x v="1"/>
    <x v="2"/>
    <x v="345"/>
  </r>
  <r>
    <x v="374"/>
    <x v="0"/>
    <x v="12"/>
    <x v="3"/>
    <x v="0"/>
    <x v="339"/>
    <x v="353"/>
    <x v="294"/>
    <x v="9"/>
    <x v="1"/>
    <x v="2"/>
    <x v="346"/>
  </r>
  <r>
    <x v="375"/>
    <x v="0"/>
    <x v="9"/>
    <x v="0"/>
    <x v="0"/>
    <x v="340"/>
    <x v="354"/>
    <x v="73"/>
    <x v="7"/>
    <x v="0"/>
    <x v="1"/>
    <x v="347"/>
  </r>
  <r>
    <x v="376"/>
    <x v="0"/>
    <x v="9"/>
    <x v="6"/>
    <x v="0"/>
    <x v="341"/>
    <x v="355"/>
    <x v="295"/>
    <x v="7"/>
    <x v="1"/>
    <x v="1"/>
    <x v="348"/>
  </r>
  <r>
    <x v="377"/>
    <x v="0"/>
    <x v="17"/>
    <x v="6"/>
    <x v="0"/>
    <x v="342"/>
    <x v="356"/>
    <x v="296"/>
    <x v="1"/>
    <x v="1"/>
    <x v="3"/>
    <x v="349"/>
  </r>
  <r>
    <x v="378"/>
    <x v="0"/>
    <x v="6"/>
    <x v="4"/>
    <x v="49"/>
    <x v="343"/>
    <x v="357"/>
    <x v="26"/>
    <x v="3"/>
    <x v="1"/>
    <x v="0"/>
    <x v="350"/>
  </r>
  <r>
    <x v="379"/>
    <x v="0"/>
    <x v="6"/>
    <x v="0"/>
    <x v="0"/>
    <x v="344"/>
    <x v="358"/>
    <x v="297"/>
    <x v="7"/>
    <x v="1"/>
    <x v="0"/>
    <x v="351"/>
  </r>
  <r>
    <x v="380"/>
    <x v="1"/>
    <x v="10"/>
    <x v="0"/>
    <x v="0"/>
    <x v="7"/>
    <x v="22"/>
    <x v="298"/>
    <x v="2"/>
    <x v="0"/>
    <x v="2"/>
    <x v="8"/>
  </r>
  <r>
    <x v="380"/>
    <x v="1"/>
    <x v="9"/>
    <x v="1"/>
    <x v="0"/>
    <x v="345"/>
    <x v="359"/>
    <x v="299"/>
    <x v="3"/>
    <x v="0"/>
    <x v="1"/>
    <x v="352"/>
  </r>
  <r>
    <x v="380"/>
    <x v="1"/>
    <x v="14"/>
    <x v="5"/>
    <x v="0"/>
    <x v="346"/>
    <x v="360"/>
    <x v="300"/>
    <x v="1"/>
    <x v="2"/>
    <x v="0"/>
    <x v="353"/>
  </r>
  <r>
    <x v="380"/>
    <x v="1"/>
    <x v="3"/>
    <x v="4"/>
    <x v="0"/>
    <x v="347"/>
    <x v="361"/>
    <x v="301"/>
    <x v="1"/>
    <x v="1"/>
    <x v="2"/>
    <x v="354"/>
  </r>
  <r>
    <x v="380"/>
    <x v="1"/>
    <x v="3"/>
    <x v="2"/>
    <x v="0"/>
    <x v="348"/>
    <x v="362"/>
    <x v="302"/>
    <x v="1"/>
    <x v="0"/>
    <x v="3"/>
    <x v="355"/>
  </r>
  <r>
    <x v="380"/>
    <x v="1"/>
    <x v="3"/>
    <x v="5"/>
    <x v="0"/>
    <x v="349"/>
    <x v="363"/>
    <x v="303"/>
    <x v="4"/>
    <x v="0"/>
    <x v="0"/>
    <x v="356"/>
  </r>
  <r>
    <x v="380"/>
    <x v="1"/>
    <x v="15"/>
    <x v="7"/>
    <x v="0"/>
    <x v="350"/>
    <x v="364"/>
    <x v="304"/>
    <x v="8"/>
    <x v="2"/>
    <x v="0"/>
    <x v="357"/>
  </r>
  <r>
    <x v="380"/>
    <x v="1"/>
    <x v="4"/>
    <x v="3"/>
    <x v="0"/>
    <x v="351"/>
    <x v="365"/>
    <x v="305"/>
    <x v="1"/>
    <x v="0"/>
    <x v="0"/>
    <x v="358"/>
  </r>
  <r>
    <x v="380"/>
    <x v="1"/>
    <x v="4"/>
    <x v="5"/>
    <x v="61"/>
    <x v="352"/>
    <x v="366"/>
    <x v="306"/>
    <x v="0"/>
    <x v="1"/>
    <x v="1"/>
    <x v="359"/>
  </r>
  <r>
    <x v="380"/>
    <x v="1"/>
    <x v="11"/>
    <x v="7"/>
    <x v="34"/>
    <x v="353"/>
    <x v="367"/>
    <x v="34"/>
    <x v="3"/>
    <x v="0"/>
    <x v="1"/>
    <x v="360"/>
  </r>
  <r>
    <x v="380"/>
    <x v="1"/>
    <x v="2"/>
    <x v="5"/>
    <x v="0"/>
    <x v="7"/>
    <x v="22"/>
    <x v="98"/>
    <x v="10"/>
    <x v="1"/>
    <x v="0"/>
    <x v="361"/>
  </r>
  <r>
    <x v="380"/>
    <x v="1"/>
    <x v="10"/>
    <x v="6"/>
    <x v="0"/>
    <x v="354"/>
    <x v="368"/>
    <x v="307"/>
    <x v="4"/>
    <x v="0"/>
    <x v="3"/>
    <x v="362"/>
  </r>
  <r>
    <x v="380"/>
    <x v="1"/>
    <x v="12"/>
    <x v="5"/>
    <x v="0"/>
    <x v="355"/>
    <x v="369"/>
    <x v="308"/>
    <x v="9"/>
    <x v="1"/>
    <x v="1"/>
    <x v="363"/>
  </r>
  <r>
    <x v="380"/>
    <x v="1"/>
    <x v="2"/>
    <x v="6"/>
    <x v="0"/>
    <x v="356"/>
    <x v="370"/>
    <x v="231"/>
    <x v="6"/>
    <x v="1"/>
    <x v="1"/>
    <x v="364"/>
  </r>
  <r>
    <x v="380"/>
    <x v="1"/>
    <x v="16"/>
    <x v="6"/>
    <x v="0"/>
    <x v="357"/>
    <x v="371"/>
    <x v="309"/>
    <x v="3"/>
    <x v="2"/>
    <x v="0"/>
    <x v="8"/>
  </r>
  <r>
    <x v="380"/>
    <x v="1"/>
    <x v="2"/>
    <x v="2"/>
    <x v="32"/>
    <x v="358"/>
    <x v="372"/>
    <x v="310"/>
    <x v="11"/>
    <x v="0"/>
    <x v="1"/>
    <x v="365"/>
  </r>
  <r>
    <x v="380"/>
    <x v="1"/>
    <x v="6"/>
    <x v="0"/>
    <x v="0"/>
    <x v="359"/>
    <x v="373"/>
    <x v="311"/>
    <x v="4"/>
    <x v="2"/>
    <x v="2"/>
    <x v="366"/>
  </r>
  <r>
    <x v="380"/>
    <x v="1"/>
    <x v="10"/>
    <x v="7"/>
    <x v="0"/>
    <x v="360"/>
    <x v="374"/>
    <x v="312"/>
    <x v="9"/>
    <x v="1"/>
    <x v="1"/>
    <x v="367"/>
  </r>
  <r>
    <x v="380"/>
    <x v="1"/>
    <x v="6"/>
    <x v="5"/>
    <x v="0"/>
    <x v="361"/>
    <x v="375"/>
    <x v="313"/>
    <x v="10"/>
    <x v="1"/>
    <x v="1"/>
    <x v="368"/>
  </r>
  <r>
    <x v="380"/>
    <x v="1"/>
    <x v="2"/>
    <x v="7"/>
    <x v="0"/>
    <x v="362"/>
    <x v="376"/>
    <x v="204"/>
    <x v="2"/>
    <x v="1"/>
    <x v="1"/>
    <x v="369"/>
  </r>
  <r>
    <x v="380"/>
    <x v="1"/>
    <x v="13"/>
    <x v="1"/>
    <x v="62"/>
    <x v="203"/>
    <x v="377"/>
    <x v="149"/>
    <x v="9"/>
    <x v="2"/>
    <x v="1"/>
    <x v="370"/>
  </r>
  <r>
    <x v="380"/>
    <x v="1"/>
    <x v="16"/>
    <x v="3"/>
    <x v="0"/>
    <x v="363"/>
    <x v="378"/>
    <x v="279"/>
    <x v="6"/>
    <x v="2"/>
    <x v="1"/>
    <x v="371"/>
  </r>
  <r>
    <x v="380"/>
    <x v="1"/>
    <x v="11"/>
    <x v="3"/>
    <x v="0"/>
    <x v="364"/>
    <x v="379"/>
    <x v="86"/>
    <x v="4"/>
    <x v="1"/>
    <x v="1"/>
    <x v="372"/>
  </r>
  <r>
    <x v="380"/>
    <x v="1"/>
    <x v="4"/>
    <x v="0"/>
    <x v="0"/>
    <x v="365"/>
    <x v="380"/>
    <x v="314"/>
    <x v="1"/>
    <x v="1"/>
    <x v="3"/>
    <x v="373"/>
  </r>
  <r>
    <x v="380"/>
    <x v="1"/>
    <x v="6"/>
    <x v="0"/>
    <x v="0"/>
    <x v="366"/>
    <x v="381"/>
    <x v="315"/>
    <x v="0"/>
    <x v="1"/>
    <x v="1"/>
    <x v="374"/>
  </r>
  <r>
    <x v="380"/>
    <x v="1"/>
    <x v="9"/>
    <x v="0"/>
    <x v="0"/>
    <x v="367"/>
    <x v="382"/>
    <x v="316"/>
    <x v="5"/>
    <x v="2"/>
    <x v="3"/>
    <x v="375"/>
  </r>
  <r>
    <x v="380"/>
    <x v="1"/>
    <x v="2"/>
    <x v="4"/>
    <x v="0"/>
    <x v="368"/>
    <x v="383"/>
    <x v="317"/>
    <x v="1"/>
    <x v="1"/>
    <x v="1"/>
    <x v="376"/>
  </r>
  <r>
    <x v="380"/>
    <x v="1"/>
    <x v="5"/>
    <x v="0"/>
    <x v="0"/>
    <x v="369"/>
    <x v="384"/>
    <x v="75"/>
    <x v="9"/>
    <x v="1"/>
    <x v="3"/>
    <x v="377"/>
  </r>
  <r>
    <x v="380"/>
    <x v="1"/>
    <x v="1"/>
    <x v="7"/>
    <x v="33"/>
    <x v="370"/>
    <x v="385"/>
    <x v="318"/>
    <x v="3"/>
    <x v="1"/>
    <x v="1"/>
    <x v="8"/>
  </r>
  <r>
    <x v="380"/>
    <x v="1"/>
    <x v="10"/>
    <x v="1"/>
    <x v="63"/>
    <x v="371"/>
    <x v="386"/>
    <x v="126"/>
    <x v="11"/>
    <x v="2"/>
    <x v="0"/>
    <x v="378"/>
  </r>
  <r>
    <x v="380"/>
    <x v="1"/>
    <x v="3"/>
    <x v="6"/>
    <x v="0"/>
    <x v="211"/>
    <x v="219"/>
    <x v="300"/>
    <x v="1"/>
    <x v="2"/>
    <x v="0"/>
    <x v="379"/>
  </r>
  <r>
    <x v="380"/>
    <x v="1"/>
    <x v="11"/>
    <x v="5"/>
    <x v="0"/>
    <x v="372"/>
    <x v="387"/>
    <x v="121"/>
    <x v="8"/>
    <x v="1"/>
    <x v="2"/>
    <x v="380"/>
  </r>
  <r>
    <x v="380"/>
    <x v="1"/>
    <x v="6"/>
    <x v="3"/>
    <x v="0"/>
    <x v="373"/>
    <x v="388"/>
    <x v="319"/>
    <x v="1"/>
    <x v="1"/>
    <x v="3"/>
    <x v="381"/>
  </r>
  <r>
    <x v="380"/>
    <x v="1"/>
    <x v="14"/>
    <x v="2"/>
    <x v="0"/>
    <x v="374"/>
    <x v="389"/>
    <x v="320"/>
    <x v="11"/>
    <x v="1"/>
    <x v="1"/>
    <x v="382"/>
  </r>
  <r>
    <x v="380"/>
    <x v="1"/>
    <x v="10"/>
    <x v="4"/>
    <x v="0"/>
    <x v="375"/>
    <x v="390"/>
    <x v="321"/>
    <x v="1"/>
    <x v="2"/>
    <x v="1"/>
    <x v="383"/>
  </r>
  <r>
    <x v="380"/>
    <x v="1"/>
    <x v="13"/>
    <x v="0"/>
    <x v="22"/>
    <x v="376"/>
    <x v="391"/>
    <x v="322"/>
    <x v="11"/>
    <x v="2"/>
    <x v="0"/>
    <x v="384"/>
  </r>
  <r>
    <x v="380"/>
    <x v="1"/>
    <x v="16"/>
    <x v="4"/>
    <x v="48"/>
    <x v="377"/>
    <x v="392"/>
    <x v="323"/>
    <x v="2"/>
    <x v="0"/>
    <x v="1"/>
    <x v="385"/>
  </r>
  <r>
    <x v="380"/>
    <x v="1"/>
    <x v="7"/>
    <x v="4"/>
    <x v="0"/>
    <x v="378"/>
    <x v="393"/>
    <x v="318"/>
    <x v="3"/>
    <x v="1"/>
    <x v="1"/>
    <x v="386"/>
  </r>
  <r>
    <x v="380"/>
    <x v="1"/>
    <x v="17"/>
    <x v="4"/>
    <x v="0"/>
    <x v="379"/>
    <x v="394"/>
    <x v="281"/>
    <x v="10"/>
    <x v="1"/>
    <x v="1"/>
    <x v="387"/>
  </r>
  <r>
    <x v="380"/>
    <x v="1"/>
    <x v="6"/>
    <x v="3"/>
    <x v="0"/>
    <x v="380"/>
    <x v="395"/>
    <x v="4"/>
    <x v="4"/>
    <x v="0"/>
    <x v="2"/>
    <x v="388"/>
  </r>
  <r>
    <x v="380"/>
    <x v="1"/>
    <x v="4"/>
    <x v="7"/>
    <x v="0"/>
    <x v="7"/>
    <x v="22"/>
    <x v="146"/>
    <x v="6"/>
    <x v="2"/>
    <x v="1"/>
    <x v="389"/>
  </r>
  <r>
    <x v="380"/>
    <x v="1"/>
    <x v="17"/>
    <x v="3"/>
    <x v="0"/>
    <x v="381"/>
    <x v="396"/>
    <x v="324"/>
    <x v="4"/>
    <x v="1"/>
    <x v="3"/>
    <x v="390"/>
  </r>
  <r>
    <x v="380"/>
    <x v="1"/>
    <x v="7"/>
    <x v="4"/>
    <x v="0"/>
    <x v="382"/>
    <x v="397"/>
    <x v="325"/>
    <x v="10"/>
    <x v="0"/>
    <x v="3"/>
    <x v="8"/>
  </r>
  <r>
    <x v="381"/>
    <x v="0"/>
    <x v="14"/>
    <x v="0"/>
    <x v="0"/>
    <x v="383"/>
    <x v="398"/>
    <x v="326"/>
    <x v="1"/>
    <x v="1"/>
    <x v="1"/>
    <x v="391"/>
  </r>
  <r>
    <x v="382"/>
    <x v="0"/>
    <x v="0"/>
    <x v="0"/>
    <x v="0"/>
    <x v="384"/>
    <x v="399"/>
    <x v="210"/>
    <x v="1"/>
    <x v="2"/>
    <x v="1"/>
    <x v="392"/>
  </r>
  <r>
    <x v="383"/>
    <x v="0"/>
    <x v="4"/>
    <x v="4"/>
    <x v="64"/>
    <x v="385"/>
    <x v="400"/>
    <x v="327"/>
    <x v="4"/>
    <x v="1"/>
    <x v="3"/>
    <x v="393"/>
  </r>
  <r>
    <x v="384"/>
    <x v="0"/>
    <x v="13"/>
    <x v="3"/>
    <x v="0"/>
    <x v="386"/>
    <x v="401"/>
    <x v="19"/>
    <x v="8"/>
    <x v="1"/>
    <x v="0"/>
    <x v="394"/>
  </r>
  <r>
    <x v="385"/>
    <x v="0"/>
    <x v="2"/>
    <x v="5"/>
    <x v="52"/>
    <x v="387"/>
    <x v="402"/>
    <x v="136"/>
    <x v="4"/>
    <x v="0"/>
    <x v="2"/>
    <x v="395"/>
  </r>
  <r>
    <x v="386"/>
    <x v="0"/>
    <x v="7"/>
    <x v="3"/>
    <x v="0"/>
    <x v="388"/>
    <x v="403"/>
    <x v="328"/>
    <x v="4"/>
    <x v="1"/>
    <x v="1"/>
    <x v="8"/>
  </r>
  <r>
    <x v="387"/>
    <x v="0"/>
    <x v="16"/>
    <x v="1"/>
    <x v="0"/>
    <x v="389"/>
    <x v="404"/>
    <x v="261"/>
    <x v="10"/>
    <x v="2"/>
    <x v="1"/>
    <x v="396"/>
  </r>
  <r>
    <x v="388"/>
    <x v="0"/>
    <x v="7"/>
    <x v="0"/>
    <x v="12"/>
    <x v="390"/>
    <x v="405"/>
    <x v="265"/>
    <x v="3"/>
    <x v="0"/>
    <x v="0"/>
    <x v="397"/>
  </r>
  <r>
    <x v="389"/>
    <x v="0"/>
    <x v="6"/>
    <x v="1"/>
    <x v="0"/>
    <x v="391"/>
    <x v="406"/>
    <x v="321"/>
    <x v="1"/>
    <x v="2"/>
    <x v="2"/>
    <x v="398"/>
  </r>
  <r>
    <x v="390"/>
    <x v="0"/>
    <x v="11"/>
    <x v="6"/>
    <x v="48"/>
    <x v="392"/>
    <x v="407"/>
    <x v="329"/>
    <x v="6"/>
    <x v="0"/>
    <x v="2"/>
    <x v="399"/>
  </r>
  <r>
    <x v="391"/>
    <x v="0"/>
    <x v="0"/>
    <x v="0"/>
    <x v="0"/>
    <x v="7"/>
    <x v="22"/>
    <x v="37"/>
    <x v="2"/>
    <x v="1"/>
    <x v="1"/>
    <x v="400"/>
  </r>
  <r>
    <x v="392"/>
    <x v="0"/>
    <x v="18"/>
    <x v="6"/>
    <x v="0"/>
    <x v="393"/>
    <x v="408"/>
    <x v="330"/>
    <x v="11"/>
    <x v="1"/>
    <x v="3"/>
    <x v="401"/>
  </r>
  <r>
    <x v="393"/>
    <x v="0"/>
    <x v="15"/>
    <x v="1"/>
    <x v="65"/>
    <x v="394"/>
    <x v="409"/>
    <x v="73"/>
    <x v="7"/>
    <x v="0"/>
    <x v="2"/>
    <x v="402"/>
  </r>
  <r>
    <x v="394"/>
    <x v="0"/>
    <x v="6"/>
    <x v="7"/>
    <x v="66"/>
    <x v="395"/>
    <x v="410"/>
    <x v="331"/>
    <x v="4"/>
    <x v="0"/>
    <x v="1"/>
    <x v="403"/>
  </r>
  <r>
    <x v="395"/>
    <x v="0"/>
    <x v="17"/>
    <x v="1"/>
    <x v="0"/>
    <x v="396"/>
    <x v="411"/>
    <x v="252"/>
    <x v="4"/>
    <x v="1"/>
    <x v="1"/>
    <x v="404"/>
  </r>
  <r>
    <x v="396"/>
    <x v="0"/>
    <x v="2"/>
    <x v="5"/>
    <x v="56"/>
    <x v="397"/>
    <x v="412"/>
    <x v="332"/>
    <x v="4"/>
    <x v="1"/>
    <x v="2"/>
    <x v="405"/>
  </r>
  <r>
    <x v="397"/>
    <x v="0"/>
    <x v="19"/>
    <x v="2"/>
    <x v="67"/>
    <x v="398"/>
    <x v="413"/>
    <x v="333"/>
    <x v="4"/>
    <x v="1"/>
    <x v="1"/>
    <x v="406"/>
  </r>
  <r>
    <x v="398"/>
    <x v="0"/>
    <x v="16"/>
    <x v="4"/>
    <x v="0"/>
    <x v="399"/>
    <x v="414"/>
    <x v="60"/>
    <x v="10"/>
    <x v="1"/>
    <x v="3"/>
    <x v="407"/>
  </r>
  <r>
    <x v="399"/>
    <x v="0"/>
    <x v="15"/>
    <x v="1"/>
    <x v="0"/>
    <x v="400"/>
    <x v="415"/>
    <x v="334"/>
    <x v="3"/>
    <x v="0"/>
    <x v="2"/>
    <x v="408"/>
  </r>
  <r>
    <x v="400"/>
    <x v="0"/>
    <x v="0"/>
    <x v="5"/>
    <x v="0"/>
    <x v="401"/>
    <x v="416"/>
    <x v="78"/>
    <x v="6"/>
    <x v="1"/>
    <x v="2"/>
    <x v="409"/>
  </r>
  <r>
    <x v="401"/>
    <x v="0"/>
    <x v="7"/>
    <x v="1"/>
    <x v="0"/>
    <x v="402"/>
    <x v="417"/>
    <x v="51"/>
    <x v="0"/>
    <x v="1"/>
    <x v="1"/>
    <x v="410"/>
  </r>
  <r>
    <x v="402"/>
    <x v="0"/>
    <x v="19"/>
    <x v="7"/>
    <x v="0"/>
    <x v="403"/>
    <x v="418"/>
    <x v="335"/>
    <x v="11"/>
    <x v="1"/>
    <x v="1"/>
    <x v="411"/>
  </r>
  <r>
    <x v="403"/>
    <x v="0"/>
    <x v="7"/>
    <x v="3"/>
    <x v="0"/>
    <x v="404"/>
    <x v="419"/>
    <x v="296"/>
    <x v="1"/>
    <x v="1"/>
    <x v="3"/>
    <x v="412"/>
  </r>
  <r>
    <x v="404"/>
    <x v="0"/>
    <x v="2"/>
    <x v="1"/>
    <x v="68"/>
    <x v="405"/>
    <x v="420"/>
    <x v="102"/>
    <x v="1"/>
    <x v="2"/>
    <x v="2"/>
    <x v="413"/>
  </r>
  <r>
    <x v="405"/>
    <x v="0"/>
    <x v="15"/>
    <x v="2"/>
    <x v="0"/>
    <x v="406"/>
    <x v="421"/>
    <x v="336"/>
    <x v="8"/>
    <x v="1"/>
    <x v="1"/>
    <x v="414"/>
  </r>
  <r>
    <x v="406"/>
    <x v="0"/>
    <x v="5"/>
    <x v="3"/>
    <x v="0"/>
    <x v="407"/>
    <x v="422"/>
    <x v="129"/>
    <x v="11"/>
    <x v="2"/>
    <x v="1"/>
    <x v="415"/>
  </r>
  <r>
    <x v="407"/>
    <x v="0"/>
    <x v="9"/>
    <x v="5"/>
    <x v="31"/>
    <x v="408"/>
    <x v="423"/>
    <x v="337"/>
    <x v="5"/>
    <x v="2"/>
    <x v="0"/>
    <x v="416"/>
  </r>
  <r>
    <x v="408"/>
    <x v="0"/>
    <x v="9"/>
    <x v="3"/>
    <x v="0"/>
    <x v="7"/>
    <x v="22"/>
    <x v="338"/>
    <x v="7"/>
    <x v="1"/>
    <x v="3"/>
    <x v="417"/>
  </r>
  <r>
    <x v="409"/>
    <x v="0"/>
    <x v="19"/>
    <x v="3"/>
    <x v="0"/>
    <x v="409"/>
    <x v="424"/>
    <x v="240"/>
    <x v="5"/>
    <x v="1"/>
    <x v="1"/>
    <x v="418"/>
  </r>
  <r>
    <x v="410"/>
    <x v="0"/>
    <x v="12"/>
    <x v="5"/>
    <x v="43"/>
    <x v="410"/>
    <x v="425"/>
    <x v="339"/>
    <x v="5"/>
    <x v="2"/>
    <x v="2"/>
    <x v="419"/>
  </r>
  <r>
    <x v="411"/>
    <x v="0"/>
    <x v="9"/>
    <x v="0"/>
    <x v="52"/>
    <x v="411"/>
    <x v="426"/>
    <x v="340"/>
    <x v="3"/>
    <x v="0"/>
    <x v="0"/>
    <x v="420"/>
  </r>
  <r>
    <x v="412"/>
    <x v="0"/>
    <x v="15"/>
    <x v="3"/>
    <x v="0"/>
    <x v="412"/>
    <x v="427"/>
    <x v="341"/>
    <x v="8"/>
    <x v="1"/>
    <x v="2"/>
    <x v="421"/>
  </r>
  <r>
    <x v="413"/>
    <x v="0"/>
    <x v="18"/>
    <x v="6"/>
    <x v="0"/>
    <x v="413"/>
    <x v="428"/>
    <x v="51"/>
    <x v="0"/>
    <x v="1"/>
    <x v="3"/>
    <x v="422"/>
  </r>
  <r>
    <x v="414"/>
    <x v="0"/>
    <x v="4"/>
    <x v="6"/>
    <x v="0"/>
    <x v="414"/>
    <x v="429"/>
    <x v="342"/>
    <x v="2"/>
    <x v="1"/>
    <x v="3"/>
    <x v="423"/>
  </r>
  <r>
    <x v="415"/>
    <x v="0"/>
    <x v="5"/>
    <x v="4"/>
    <x v="0"/>
    <x v="415"/>
    <x v="430"/>
    <x v="343"/>
    <x v="3"/>
    <x v="1"/>
    <x v="1"/>
    <x v="424"/>
  </r>
  <r>
    <x v="416"/>
    <x v="0"/>
    <x v="7"/>
    <x v="6"/>
    <x v="0"/>
    <x v="416"/>
    <x v="431"/>
    <x v="344"/>
    <x v="10"/>
    <x v="1"/>
    <x v="0"/>
    <x v="425"/>
  </r>
  <r>
    <x v="417"/>
    <x v="0"/>
    <x v="18"/>
    <x v="4"/>
    <x v="29"/>
    <x v="417"/>
    <x v="432"/>
    <x v="345"/>
    <x v="1"/>
    <x v="0"/>
    <x v="0"/>
    <x v="426"/>
  </r>
  <r>
    <x v="418"/>
    <x v="0"/>
    <x v="6"/>
    <x v="4"/>
    <x v="0"/>
    <x v="418"/>
    <x v="433"/>
    <x v="346"/>
    <x v="7"/>
    <x v="1"/>
    <x v="3"/>
    <x v="427"/>
  </r>
  <r>
    <x v="419"/>
    <x v="0"/>
    <x v="18"/>
    <x v="2"/>
    <x v="0"/>
    <x v="419"/>
    <x v="434"/>
    <x v="347"/>
    <x v="9"/>
    <x v="1"/>
    <x v="2"/>
    <x v="8"/>
  </r>
  <r>
    <x v="420"/>
    <x v="0"/>
    <x v="0"/>
    <x v="4"/>
    <x v="0"/>
    <x v="420"/>
    <x v="435"/>
    <x v="348"/>
    <x v="11"/>
    <x v="1"/>
    <x v="2"/>
    <x v="428"/>
  </r>
  <r>
    <x v="421"/>
    <x v="0"/>
    <x v="16"/>
    <x v="2"/>
    <x v="0"/>
    <x v="421"/>
    <x v="436"/>
    <x v="349"/>
    <x v="6"/>
    <x v="0"/>
    <x v="0"/>
    <x v="429"/>
  </r>
  <r>
    <x v="422"/>
    <x v="0"/>
    <x v="19"/>
    <x v="4"/>
    <x v="0"/>
    <x v="422"/>
    <x v="437"/>
    <x v="102"/>
    <x v="1"/>
    <x v="2"/>
    <x v="1"/>
    <x v="430"/>
  </r>
  <r>
    <x v="423"/>
    <x v="0"/>
    <x v="9"/>
    <x v="7"/>
    <x v="0"/>
    <x v="423"/>
    <x v="438"/>
    <x v="350"/>
    <x v="5"/>
    <x v="1"/>
    <x v="1"/>
    <x v="431"/>
  </r>
  <r>
    <x v="424"/>
    <x v="0"/>
    <x v="1"/>
    <x v="0"/>
    <x v="0"/>
    <x v="7"/>
    <x v="22"/>
    <x v="315"/>
    <x v="0"/>
    <x v="1"/>
    <x v="1"/>
    <x v="432"/>
  </r>
  <r>
    <x v="425"/>
    <x v="0"/>
    <x v="8"/>
    <x v="3"/>
    <x v="0"/>
    <x v="424"/>
    <x v="439"/>
    <x v="280"/>
    <x v="0"/>
    <x v="1"/>
    <x v="3"/>
    <x v="433"/>
  </r>
  <r>
    <x v="426"/>
    <x v="0"/>
    <x v="5"/>
    <x v="0"/>
    <x v="0"/>
    <x v="7"/>
    <x v="22"/>
    <x v="351"/>
    <x v="10"/>
    <x v="2"/>
    <x v="1"/>
    <x v="434"/>
  </r>
  <r>
    <x v="427"/>
    <x v="0"/>
    <x v="9"/>
    <x v="2"/>
    <x v="0"/>
    <x v="425"/>
    <x v="440"/>
    <x v="295"/>
    <x v="7"/>
    <x v="1"/>
    <x v="0"/>
    <x v="435"/>
  </r>
  <r>
    <x v="428"/>
    <x v="0"/>
    <x v="10"/>
    <x v="2"/>
    <x v="69"/>
    <x v="426"/>
    <x v="441"/>
    <x v="352"/>
    <x v="5"/>
    <x v="0"/>
    <x v="1"/>
    <x v="436"/>
  </r>
  <r>
    <x v="429"/>
    <x v="0"/>
    <x v="6"/>
    <x v="4"/>
    <x v="23"/>
    <x v="427"/>
    <x v="442"/>
    <x v="353"/>
    <x v="10"/>
    <x v="1"/>
    <x v="1"/>
    <x v="437"/>
  </r>
  <r>
    <x v="430"/>
    <x v="0"/>
    <x v="6"/>
    <x v="7"/>
    <x v="0"/>
    <x v="428"/>
    <x v="443"/>
    <x v="354"/>
    <x v="6"/>
    <x v="1"/>
    <x v="1"/>
    <x v="438"/>
  </r>
  <r>
    <x v="431"/>
    <x v="0"/>
    <x v="14"/>
    <x v="4"/>
    <x v="0"/>
    <x v="429"/>
    <x v="444"/>
    <x v="118"/>
    <x v="2"/>
    <x v="2"/>
    <x v="1"/>
    <x v="439"/>
  </r>
  <r>
    <x v="432"/>
    <x v="0"/>
    <x v="0"/>
    <x v="1"/>
    <x v="0"/>
    <x v="430"/>
    <x v="445"/>
    <x v="355"/>
    <x v="11"/>
    <x v="1"/>
    <x v="1"/>
    <x v="440"/>
  </r>
  <r>
    <x v="433"/>
    <x v="0"/>
    <x v="18"/>
    <x v="7"/>
    <x v="0"/>
    <x v="431"/>
    <x v="446"/>
    <x v="356"/>
    <x v="9"/>
    <x v="2"/>
    <x v="3"/>
    <x v="441"/>
  </r>
  <r>
    <x v="434"/>
    <x v="0"/>
    <x v="8"/>
    <x v="0"/>
    <x v="0"/>
    <x v="432"/>
    <x v="447"/>
    <x v="357"/>
    <x v="4"/>
    <x v="0"/>
    <x v="0"/>
    <x v="442"/>
  </r>
  <r>
    <x v="435"/>
    <x v="0"/>
    <x v="6"/>
    <x v="7"/>
    <x v="2"/>
    <x v="433"/>
    <x v="448"/>
    <x v="87"/>
    <x v="0"/>
    <x v="1"/>
    <x v="0"/>
    <x v="443"/>
  </r>
  <r>
    <x v="436"/>
    <x v="0"/>
    <x v="8"/>
    <x v="6"/>
    <x v="9"/>
    <x v="434"/>
    <x v="449"/>
    <x v="358"/>
    <x v="5"/>
    <x v="1"/>
    <x v="1"/>
    <x v="444"/>
  </r>
  <r>
    <x v="437"/>
    <x v="0"/>
    <x v="7"/>
    <x v="5"/>
    <x v="0"/>
    <x v="435"/>
    <x v="450"/>
    <x v="178"/>
    <x v="4"/>
    <x v="1"/>
    <x v="2"/>
    <x v="445"/>
  </r>
  <r>
    <x v="438"/>
    <x v="0"/>
    <x v="7"/>
    <x v="6"/>
    <x v="0"/>
    <x v="436"/>
    <x v="451"/>
    <x v="359"/>
    <x v="1"/>
    <x v="2"/>
    <x v="3"/>
    <x v="446"/>
  </r>
  <r>
    <x v="439"/>
    <x v="0"/>
    <x v="9"/>
    <x v="5"/>
    <x v="0"/>
    <x v="437"/>
    <x v="452"/>
    <x v="243"/>
    <x v="9"/>
    <x v="1"/>
    <x v="2"/>
    <x v="447"/>
  </r>
  <r>
    <x v="440"/>
    <x v="0"/>
    <x v="16"/>
    <x v="7"/>
    <x v="0"/>
    <x v="438"/>
    <x v="453"/>
    <x v="360"/>
    <x v="5"/>
    <x v="2"/>
    <x v="2"/>
    <x v="448"/>
  </r>
  <r>
    <x v="441"/>
    <x v="0"/>
    <x v="14"/>
    <x v="4"/>
    <x v="0"/>
    <x v="439"/>
    <x v="454"/>
    <x v="91"/>
    <x v="1"/>
    <x v="1"/>
    <x v="2"/>
    <x v="449"/>
  </r>
  <r>
    <x v="442"/>
    <x v="0"/>
    <x v="15"/>
    <x v="5"/>
    <x v="0"/>
    <x v="440"/>
    <x v="455"/>
    <x v="31"/>
    <x v="2"/>
    <x v="0"/>
    <x v="1"/>
    <x v="450"/>
  </r>
  <r>
    <x v="443"/>
    <x v="0"/>
    <x v="2"/>
    <x v="6"/>
    <x v="0"/>
    <x v="441"/>
    <x v="456"/>
    <x v="361"/>
    <x v="4"/>
    <x v="1"/>
    <x v="1"/>
    <x v="451"/>
  </r>
  <r>
    <x v="444"/>
    <x v="0"/>
    <x v="10"/>
    <x v="3"/>
    <x v="0"/>
    <x v="442"/>
    <x v="457"/>
    <x v="362"/>
    <x v="7"/>
    <x v="1"/>
    <x v="3"/>
    <x v="452"/>
  </r>
  <r>
    <x v="445"/>
    <x v="0"/>
    <x v="7"/>
    <x v="0"/>
    <x v="0"/>
    <x v="443"/>
    <x v="458"/>
    <x v="314"/>
    <x v="1"/>
    <x v="1"/>
    <x v="0"/>
    <x v="453"/>
  </r>
  <r>
    <x v="446"/>
    <x v="0"/>
    <x v="19"/>
    <x v="5"/>
    <x v="68"/>
    <x v="444"/>
    <x v="459"/>
    <x v="363"/>
    <x v="10"/>
    <x v="2"/>
    <x v="2"/>
    <x v="454"/>
  </r>
  <r>
    <x v="447"/>
    <x v="0"/>
    <x v="10"/>
    <x v="5"/>
    <x v="70"/>
    <x v="445"/>
    <x v="460"/>
    <x v="364"/>
    <x v="8"/>
    <x v="1"/>
    <x v="1"/>
    <x v="455"/>
  </r>
  <r>
    <x v="448"/>
    <x v="0"/>
    <x v="2"/>
    <x v="2"/>
    <x v="0"/>
    <x v="446"/>
    <x v="461"/>
    <x v="365"/>
    <x v="8"/>
    <x v="1"/>
    <x v="3"/>
    <x v="456"/>
  </r>
  <r>
    <x v="449"/>
    <x v="0"/>
    <x v="3"/>
    <x v="5"/>
    <x v="0"/>
    <x v="7"/>
    <x v="22"/>
    <x v="366"/>
    <x v="4"/>
    <x v="0"/>
    <x v="0"/>
    <x v="457"/>
  </r>
  <r>
    <x v="450"/>
    <x v="0"/>
    <x v="10"/>
    <x v="5"/>
    <x v="0"/>
    <x v="447"/>
    <x v="462"/>
    <x v="367"/>
    <x v="3"/>
    <x v="0"/>
    <x v="1"/>
    <x v="458"/>
  </r>
  <r>
    <x v="451"/>
    <x v="0"/>
    <x v="12"/>
    <x v="4"/>
    <x v="0"/>
    <x v="448"/>
    <x v="463"/>
    <x v="368"/>
    <x v="0"/>
    <x v="1"/>
    <x v="0"/>
    <x v="459"/>
  </r>
  <r>
    <x v="452"/>
    <x v="0"/>
    <x v="5"/>
    <x v="6"/>
    <x v="0"/>
    <x v="449"/>
    <x v="464"/>
    <x v="30"/>
    <x v="5"/>
    <x v="1"/>
    <x v="3"/>
    <x v="460"/>
  </r>
  <r>
    <x v="453"/>
    <x v="0"/>
    <x v="18"/>
    <x v="4"/>
    <x v="0"/>
    <x v="450"/>
    <x v="465"/>
    <x v="14"/>
    <x v="6"/>
    <x v="1"/>
    <x v="2"/>
    <x v="461"/>
  </r>
  <r>
    <x v="454"/>
    <x v="0"/>
    <x v="4"/>
    <x v="4"/>
    <x v="71"/>
    <x v="451"/>
    <x v="466"/>
    <x v="209"/>
    <x v="3"/>
    <x v="1"/>
    <x v="2"/>
    <x v="462"/>
  </r>
  <r>
    <x v="455"/>
    <x v="0"/>
    <x v="16"/>
    <x v="6"/>
    <x v="0"/>
    <x v="452"/>
    <x v="467"/>
    <x v="323"/>
    <x v="2"/>
    <x v="0"/>
    <x v="1"/>
    <x v="463"/>
  </r>
  <r>
    <x v="456"/>
    <x v="0"/>
    <x v="13"/>
    <x v="7"/>
    <x v="0"/>
    <x v="453"/>
    <x v="468"/>
    <x v="369"/>
    <x v="4"/>
    <x v="1"/>
    <x v="2"/>
    <x v="464"/>
  </r>
  <r>
    <x v="457"/>
    <x v="0"/>
    <x v="18"/>
    <x v="7"/>
    <x v="0"/>
    <x v="7"/>
    <x v="22"/>
    <x v="360"/>
    <x v="5"/>
    <x v="2"/>
    <x v="3"/>
    <x v="465"/>
  </r>
  <r>
    <x v="458"/>
    <x v="0"/>
    <x v="16"/>
    <x v="0"/>
    <x v="0"/>
    <x v="7"/>
    <x v="22"/>
    <x v="179"/>
    <x v="1"/>
    <x v="2"/>
    <x v="1"/>
    <x v="466"/>
  </r>
  <r>
    <x v="459"/>
    <x v="0"/>
    <x v="18"/>
    <x v="0"/>
    <x v="28"/>
    <x v="454"/>
    <x v="469"/>
    <x v="220"/>
    <x v="10"/>
    <x v="1"/>
    <x v="1"/>
    <x v="8"/>
  </r>
  <r>
    <x v="460"/>
    <x v="0"/>
    <x v="10"/>
    <x v="3"/>
    <x v="0"/>
    <x v="455"/>
    <x v="470"/>
    <x v="370"/>
    <x v="2"/>
    <x v="0"/>
    <x v="1"/>
    <x v="467"/>
  </r>
  <r>
    <x v="461"/>
    <x v="0"/>
    <x v="3"/>
    <x v="3"/>
    <x v="0"/>
    <x v="456"/>
    <x v="471"/>
    <x v="371"/>
    <x v="2"/>
    <x v="1"/>
    <x v="3"/>
    <x v="468"/>
  </r>
  <r>
    <x v="462"/>
    <x v="0"/>
    <x v="15"/>
    <x v="0"/>
    <x v="0"/>
    <x v="457"/>
    <x v="472"/>
    <x v="372"/>
    <x v="8"/>
    <x v="1"/>
    <x v="3"/>
    <x v="469"/>
  </r>
  <r>
    <x v="463"/>
    <x v="0"/>
    <x v="13"/>
    <x v="1"/>
    <x v="0"/>
    <x v="458"/>
    <x v="473"/>
    <x v="373"/>
    <x v="10"/>
    <x v="2"/>
    <x v="3"/>
    <x v="470"/>
  </r>
  <r>
    <x v="464"/>
    <x v="0"/>
    <x v="13"/>
    <x v="0"/>
    <x v="0"/>
    <x v="459"/>
    <x v="474"/>
    <x v="354"/>
    <x v="6"/>
    <x v="1"/>
    <x v="0"/>
    <x v="471"/>
  </r>
  <r>
    <x v="465"/>
    <x v="0"/>
    <x v="8"/>
    <x v="4"/>
    <x v="72"/>
    <x v="460"/>
    <x v="475"/>
    <x v="189"/>
    <x v="8"/>
    <x v="2"/>
    <x v="3"/>
    <x v="472"/>
  </r>
  <r>
    <x v="466"/>
    <x v="0"/>
    <x v="14"/>
    <x v="0"/>
    <x v="0"/>
    <x v="461"/>
    <x v="476"/>
    <x v="201"/>
    <x v="3"/>
    <x v="1"/>
    <x v="0"/>
    <x v="473"/>
  </r>
  <r>
    <x v="467"/>
    <x v="0"/>
    <x v="14"/>
    <x v="6"/>
    <x v="0"/>
    <x v="462"/>
    <x v="477"/>
    <x v="195"/>
    <x v="8"/>
    <x v="0"/>
    <x v="3"/>
    <x v="474"/>
  </r>
  <r>
    <x v="468"/>
    <x v="0"/>
    <x v="4"/>
    <x v="2"/>
    <x v="0"/>
    <x v="463"/>
    <x v="478"/>
    <x v="374"/>
    <x v="1"/>
    <x v="1"/>
    <x v="2"/>
    <x v="475"/>
  </r>
  <r>
    <x v="469"/>
    <x v="0"/>
    <x v="2"/>
    <x v="0"/>
    <x v="0"/>
    <x v="464"/>
    <x v="479"/>
    <x v="176"/>
    <x v="2"/>
    <x v="1"/>
    <x v="2"/>
    <x v="476"/>
  </r>
  <r>
    <x v="470"/>
    <x v="0"/>
    <x v="0"/>
    <x v="0"/>
    <x v="0"/>
    <x v="465"/>
    <x v="480"/>
    <x v="220"/>
    <x v="10"/>
    <x v="1"/>
    <x v="2"/>
    <x v="477"/>
  </r>
  <r>
    <x v="471"/>
    <x v="0"/>
    <x v="16"/>
    <x v="3"/>
    <x v="56"/>
    <x v="466"/>
    <x v="481"/>
    <x v="179"/>
    <x v="1"/>
    <x v="2"/>
    <x v="1"/>
    <x v="478"/>
  </r>
  <r>
    <x v="472"/>
    <x v="0"/>
    <x v="5"/>
    <x v="1"/>
    <x v="0"/>
    <x v="467"/>
    <x v="482"/>
    <x v="375"/>
    <x v="7"/>
    <x v="1"/>
    <x v="3"/>
    <x v="479"/>
  </r>
  <r>
    <x v="473"/>
    <x v="0"/>
    <x v="14"/>
    <x v="2"/>
    <x v="0"/>
    <x v="468"/>
    <x v="483"/>
    <x v="376"/>
    <x v="6"/>
    <x v="1"/>
    <x v="2"/>
    <x v="480"/>
  </r>
  <r>
    <x v="474"/>
    <x v="0"/>
    <x v="1"/>
    <x v="0"/>
    <x v="0"/>
    <x v="469"/>
    <x v="484"/>
    <x v="377"/>
    <x v="4"/>
    <x v="2"/>
    <x v="3"/>
    <x v="481"/>
  </r>
  <r>
    <x v="475"/>
    <x v="0"/>
    <x v="8"/>
    <x v="6"/>
    <x v="0"/>
    <x v="470"/>
    <x v="485"/>
    <x v="263"/>
    <x v="3"/>
    <x v="1"/>
    <x v="1"/>
    <x v="482"/>
  </r>
  <r>
    <x v="476"/>
    <x v="0"/>
    <x v="10"/>
    <x v="0"/>
    <x v="10"/>
    <x v="471"/>
    <x v="486"/>
    <x v="21"/>
    <x v="11"/>
    <x v="1"/>
    <x v="1"/>
    <x v="483"/>
  </r>
  <r>
    <x v="477"/>
    <x v="0"/>
    <x v="19"/>
    <x v="4"/>
    <x v="24"/>
    <x v="472"/>
    <x v="487"/>
    <x v="378"/>
    <x v="1"/>
    <x v="1"/>
    <x v="1"/>
    <x v="484"/>
  </r>
  <r>
    <x v="478"/>
    <x v="0"/>
    <x v="4"/>
    <x v="7"/>
    <x v="52"/>
    <x v="473"/>
    <x v="488"/>
    <x v="324"/>
    <x v="4"/>
    <x v="1"/>
    <x v="2"/>
    <x v="485"/>
  </r>
  <r>
    <x v="479"/>
    <x v="0"/>
    <x v="4"/>
    <x v="5"/>
    <x v="0"/>
    <x v="474"/>
    <x v="489"/>
    <x v="379"/>
    <x v="7"/>
    <x v="0"/>
    <x v="3"/>
    <x v="486"/>
  </r>
  <r>
    <x v="480"/>
    <x v="0"/>
    <x v="7"/>
    <x v="5"/>
    <x v="0"/>
    <x v="7"/>
    <x v="22"/>
    <x v="380"/>
    <x v="1"/>
    <x v="1"/>
    <x v="3"/>
    <x v="487"/>
  </r>
  <r>
    <x v="481"/>
    <x v="0"/>
    <x v="10"/>
    <x v="7"/>
    <x v="2"/>
    <x v="475"/>
    <x v="490"/>
    <x v="381"/>
    <x v="9"/>
    <x v="1"/>
    <x v="1"/>
    <x v="488"/>
  </r>
  <r>
    <x v="482"/>
    <x v="0"/>
    <x v="7"/>
    <x v="4"/>
    <x v="73"/>
    <x v="476"/>
    <x v="491"/>
    <x v="382"/>
    <x v="0"/>
    <x v="0"/>
    <x v="3"/>
    <x v="489"/>
  </r>
  <r>
    <x v="483"/>
    <x v="0"/>
    <x v="16"/>
    <x v="7"/>
    <x v="0"/>
    <x v="477"/>
    <x v="492"/>
    <x v="383"/>
    <x v="11"/>
    <x v="1"/>
    <x v="2"/>
    <x v="490"/>
  </r>
  <r>
    <x v="484"/>
    <x v="0"/>
    <x v="19"/>
    <x v="7"/>
    <x v="0"/>
    <x v="478"/>
    <x v="493"/>
    <x v="384"/>
    <x v="3"/>
    <x v="1"/>
    <x v="0"/>
    <x v="491"/>
  </r>
  <r>
    <x v="485"/>
    <x v="0"/>
    <x v="0"/>
    <x v="2"/>
    <x v="19"/>
    <x v="479"/>
    <x v="494"/>
    <x v="317"/>
    <x v="1"/>
    <x v="1"/>
    <x v="3"/>
    <x v="492"/>
  </r>
  <r>
    <x v="486"/>
    <x v="0"/>
    <x v="10"/>
    <x v="5"/>
    <x v="0"/>
    <x v="480"/>
    <x v="495"/>
    <x v="385"/>
    <x v="8"/>
    <x v="1"/>
    <x v="3"/>
    <x v="493"/>
  </r>
  <r>
    <x v="487"/>
    <x v="0"/>
    <x v="14"/>
    <x v="2"/>
    <x v="0"/>
    <x v="481"/>
    <x v="496"/>
    <x v="20"/>
    <x v="7"/>
    <x v="0"/>
    <x v="2"/>
    <x v="494"/>
  </r>
  <r>
    <x v="488"/>
    <x v="0"/>
    <x v="0"/>
    <x v="4"/>
    <x v="0"/>
    <x v="7"/>
    <x v="22"/>
    <x v="288"/>
    <x v="10"/>
    <x v="1"/>
    <x v="1"/>
    <x v="495"/>
  </r>
  <r>
    <x v="489"/>
    <x v="0"/>
    <x v="6"/>
    <x v="4"/>
    <x v="0"/>
    <x v="482"/>
    <x v="497"/>
    <x v="73"/>
    <x v="7"/>
    <x v="0"/>
    <x v="1"/>
    <x v="8"/>
  </r>
  <r>
    <x v="490"/>
    <x v="0"/>
    <x v="8"/>
    <x v="0"/>
    <x v="27"/>
    <x v="483"/>
    <x v="498"/>
    <x v="386"/>
    <x v="11"/>
    <x v="2"/>
    <x v="1"/>
    <x v="496"/>
  </r>
  <r>
    <x v="491"/>
    <x v="0"/>
    <x v="8"/>
    <x v="1"/>
    <x v="0"/>
    <x v="484"/>
    <x v="499"/>
    <x v="320"/>
    <x v="11"/>
    <x v="1"/>
    <x v="1"/>
    <x v="497"/>
  </r>
  <r>
    <x v="492"/>
    <x v="0"/>
    <x v="17"/>
    <x v="2"/>
    <x v="0"/>
    <x v="485"/>
    <x v="500"/>
    <x v="226"/>
    <x v="11"/>
    <x v="1"/>
    <x v="2"/>
    <x v="498"/>
  </r>
  <r>
    <x v="493"/>
    <x v="0"/>
    <x v="11"/>
    <x v="6"/>
    <x v="74"/>
    <x v="486"/>
    <x v="501"/>
    <x v="323"/>
    <x v="2"/>
    <x v="0"/>
    <x v="1"/>
    <x v="499"/>
  </r>
  <r>
    <x v="494"/>
    <x v="0"/>
    <x v="3"/>
    <x v="0"/>
    <x v="0"/>
    <x v="487"/>
    <x v="502"/>
    <x v="387"/>
    <x v="8"/>
    <x v="2"/>
    <x v="1"/>
    <x v="500"/>
  </r>
  <r>
    <x v="495"/>
    <x v="0"/>
    <x v="7"/>
    <x v="6"/>
    <x v="0"/>
    <x v="211"/>
    <x v="219"/>
    <x v="388"/>
    <x v="7"/>
    <x v="0"/>
    <x v="0"/>
    <x v="501"/>
  </r>
  <r>
    <x v="496"/>
    <x v="0"/>
    <x v="17"/>
    <x v="7"/>
    <x v="0"/>
    <x v="488"/>
    <x v="503"/>
    <x v="389"/>
    <x v="4"/>
    <x v="0"/>
    <x v="2"/>
    <x v="502"/>
  </r>
  <r>
    <x v="497"/>
    <x v="0"/>
    <x v="6"/>
    <x v="3"/>
    <x v="0"/>
    <x v="489"/>
    <x v="504"/>
    <x v="371"/>
    <x v="2"/>
    <x v="1"/>
    <x v="1"/>
    <x v="503"/>
  </r>
  <r>
    <x v="498"/>
    <x v="0"/>
    <x v="7"/>
    <x v="7"/>
    <x v="0"/>
    <x v="490"/>
    <x v="505"/>
    <x v="315"/>
    <x v="0"/>
    <x v="1"/>
    <x v="1"/>
    <x v="8"/>
  </r>
  <r>
    <x v="499"/>
    <x v="0"/>
    <x v="13"/>
    <x v="3"/>
    <x v="0"/>
    <x v="491"/>
    <x v="506"/>
    <x v="48"/>
    <x v="4"/>
    <x v="0"/>
    <x v="2"/>
    <x v="504"/>
  </r>
  <r>
    <x v="500"/>
    <x v="0"/>
    <x v="14"/>
    <x v="2"/>
    <x v="0"/>
    <x v="492"/>
    <x v="507"/>
    <x v="390"/>
    <x v="10"/>
    <x v="0"/>
    <x v="1"/>
    <x v="8"/>
  </r>
  <r>
    <x v="501"/>
    <x v="0"/>
    <x v="9"/>
    <x v="6"/>
    <x v="0"/>
    <x v="493"/>
    <x v="508"/>
    <x v="391"/>
    <x v="4"/>
    <x v="0"/>
    <x v="2"/>
    <x v="505"/>
  </r>
  <r>
    <x v="502"/>
    <x v="0"/>
    <x v="13"/>
    <x v="1"/>
    <x v="68"/>
    <x v="494"/>
    <x v="509"/>
    <x v="392"/>
    <x v="0"/>
    <x v="1"/>
    <x v="1"/>
    <x v="506"/>
  </r>
  <r>
    <x v="503"/>
    <x v="0"/>
    <x v="15"/>
    <x v="4"/>
    <x v="0"/>
    <x v="495"/>
    <x v="510"/>
    <x v="51"/>
    <x v="0"/>
    <x v="1"/>
    <x v="3"/>
    <x v="507"/>
  </r>
  <r>
    <x v="504"/>
    <x v="0"/>
    <x v="18"/>
    <x v="1"/>
    <x v="0"/>
    <x v="496"/>
    <x v="511"/>
    <x v="364"/>
    <x v="8"/>
    <x v="1"/>
    <x v="1"/>
    <x v="508"/>
  </r>
  <r>
    <x v="505"/>
    <x v="0"/>
    <x v="14"/>
    <x v="1"/>
    <x v="64"/>
    <x v="497"/>
    <x v="512"/>
    <x v="257"/>
    <x v="2"/>
    <x v="1"/>
    <x v="3"/>
    <x v="509"/>
  </r>
  <r>
    <x v="506"/>
    <x v="0"/>
    <x v="17"/>
    <x v="5"/>
    <x v="13"/>
    <x v="498"/>
    <x v="513"/>
    <x v="352"/>
    <x v="5"/>
    <x v="0"/>
    <x v="3"/>
    <x v="5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0D85D1-BED6-4F77-ACFA-6AB43AB61A3B}" name="PivotTable22"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C151:D160" firstHeaderRow="1" firstDataRow="1" firstDataCol="1"/>
  <pivotFields count="12">
    <pivotField compact="0" outline="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compact="0" outline="0" showAll="0"/>
    <pivotField compact="0" outline="0" showAll="0"/>
    <pivotField axis="axisRow" compact="0" outline="0" showAll="0" sortType="descending">
      <items count="9">
        <item x="1"/>
        <item x="6"/>
        <item x="2"/>
        <item x="0"/>
        <item x="3"/>
        <item x="5"/>
        <item x="7"/>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numFmtId="14" outline="0" showAll="0"/>
    <pivotField compact="0" outline="0" showAll="0">
      <items count="13">
        <item x="3"/>
        <item x="0"/>
        <item x="7"/>
        <item x="2"/>
        <item x="4"/>
        <item x="9"/>
        <item x="5"/>
        <item x="8"/>
        <item x="6"/>
        <item x="1"/>
        <item x="10"/>
        <item x="11"/>
        <item t="default"/>
      </items>
    </pivotField>
    <pivotField compact="0" outline="0" showAll="0">
      <items count="4">
        <item x="2"/>
        <item x="1"/>
        <item x="0"/>
        <item t="default"/>
      </items>
    </pivotField>
    <pivotField compact="0" outline="0" showAll="0">
      <items count="5">
        <item x="1"/>
        <item x="2"/>
        <item x="0"/>
        <item x="3"/>
        <item t="default"/>
      </items>
    </pivotField>
    <pivotField compact="0" outline="0" showAll="0"/>
  </pivotFields>
  <rowFields count="1">
    <field x="3"/>
  </rowFields>
  <rowItems count="9">
    <i>
      <x v="3"/>
    </i>
    <i>
      <x v="7"/>
    </i>
    <i>
      <x v="6"/>
    </i>
    <i>
      <x v="5"/>
    </i>
    <i>
      <x v="4"/>
    </i>
    <i>
      <x v="2"/>
    </i>
    <i>
      <x v="1"/>
    </i>
    <i>
      <x/>
    </i>
    <i t="grand">
      <x/>
    </i>
  </rowItems>
  <colItems count="1">
    <i/>
  </colItems>
  <dataFields count="1">
    <dataField name="Sum of Total Sale" fld="6" baseField="0" baseItem="0" numFmtId="164"/>
  </dataFields>
  <formats count="2">
    <format dxfId="18">
      <pivotArea outline="0" fieldPosition="0">
        <references count="1">
          <reference field="4294967294" count="1" selected="0">
            <x v="0"/>
          </reference>
        </references>
      </pivotArea>
    </format>
    <format dxfId="3">
      <pivotArea outline="0" collapsedLevelsAreSubtotals="1" fieldPosition="0"/>
    </format>
  </formats>
  <chartFormats count="1">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571AD5-5BC3-4A74-BC84-569DF4E3572A}" name="PivotTable14"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C137:F146" firstHeaderRow="0" firstDataRow="1" firstDataCol="1"/>
  <pivotFields count="12">
    <pivotField compact="0" outline="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compact="0" outline="0" showAll="0"/>
    <pivotField compact="0" outline="0" showAll="0"/>
    <pivotField axis="axisRow" compact="0" outline="0" showAll="0">
      <items count="9">
        <item x="1"/>
        <item x="6"/>
        <item x="2"/>
        <item x="0"/>
        <item x="3"/>
        <item x="5"/>
        <item x="7"/>
        <item x="4"/>
        <item t="default"/>
      </items>
    </pivotField>
    <pivotField dataField="1" compact="0" outline="0" showAll="0"/>
    <pivotField dataField="1" compact="0" outline="0" showAll="0"/>
    <pivotField dataField="1" compact="0" outline="0" showAll="0"/>
    <pivotField compact="0" numFmtId="14" outline="0" showAll="0"/>
    <pivotField compact="0" outline="0" showAll="0">
      <items count="13">
        <item x="3"/>
        <item x="0"/>
        <item x="7"/>
        <item x="2"/>
        <item x="4"/>
        <item x="9"/>
        <item x="5"/>
        <item x="8"/>
        <item x="6"/>
        <item x="1"/>
        <item x="10"/>
        <item x="11"/>
        <item t="default"/>
      </items>
    </pivotField>
    <pivotField compact="0" outline="0" showAll="0">
      <items count="4">
        <item x="2"/>
        <item x="1"/>
        <item x="0"/>
        <item t="default"/>
      </items>
    </pivotField>
    <pivotField compact="0" outline="0" showAll="0">
      <items count="5">
        <item x="1"/>
        <item x="2"/>
        <item x="0"/>
        <item x="3"/>
        <item t="default"/>
      </items>
    </pivotField>
    <pivotField compact="0" outline="0" showAll="0"/>
  </pivotFields>
  <rowFields count="1">
    <field x="3"/>
  </rowFields>
  <rowItems count="9">
    <i>
      <x/>
    </i>
    <i>
      <x v="1"/>
    </i>
    <i>
      <x v="2"/>
    </i>
    <i>
      <x v="3"/>
    </i>
    <i>
      <x v="4"/>
    </i>
    <i>
      <x v="5"/>
    </i>
    <i>
      <x v="6"/>
    </i>
    <i>
      <x v="7"/>
    </i>
    <i t="grand">
      <x/>
    </i>
  </rowItems>
  <colFields count="1">
    <field x="-2"/>
  </colFields>
  <colItems count="3">
    <i>
      <x/>
    </i>
    <i i="1">
      <x v="1"/>
    </i>
    <i i="2">
      <x v="2"/>
    </i>
  </colItems>
  <dataFields count="3">
    <dataField name="Sum of Units Sold" fld="4" baseField="0" baseItem="0" numFmtId="1"/>
    <dataField name="Average of Unit Price" fld="5" subtotal="average" baseField="3" baseItem="0" numFmtId="2"/>
    <dataField name="Sum of Total Sale" fld="6" baseField="0" baseItem="0" numFmtId="2"/>
  </dataFields>
  <formats count="3">
    <format dxfId="26">
      <pivotArea outline="0" collapsedLevelsAreSubtotals="1" fieldPosition="0"/>
    </format>
    <format dxfId="25">
      <pivotArea outline="0" fieldPosition="0">
        <references count="1">
          <reference field="4294967294" count="1" selected="0">
            <x v="1"/>
          </reference>
        </references>
      </pivotArea>
    </format>
    <format dxfId="24">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22A20-B8DF-4F95-B082-DFB1251AB1BE}" name="PivotTable13"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C117:G131" firstHeaderRow="1" firstDataRow="2" firstDataCol="1"/>
  <pivotFields count="12">
    <pivotField compact="0" outline="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compact="0" outline="0" showAll="0"/>
    <pivotField compact="0" outline="0" showAll="0"/>
    <pivotField compact="0" outline="0" showAll="0">
      <items count="9">
        <item x="1"/>
        <item x="6"/>
        <item x="2"/>
        <item x="0"/>
        <item x="3"/>
        <item x="5"/>
        <item x="7"/>
        <item x="4"/>
        <item t="default"/>
      </items>
    </pivotField>
    <pivotField compact="0" outline="0" showAll="0"/>
    <pivotField compact="0" outline="0" showAll="0"/>
    <pivotField dataField="1" compact="0" outline="0" showAll="0"/>
    <pivotField compact="0" numFmtId="14" outline="0" showAll="0"/>
    <pivotField axis="axisRow" compact="0" outline="0" showAll="0">
      <items count="13">
        <item x="3"/>
        <item x="0"/>
        <item x="7"/>
        <item x="2"/>
        <item x="4"/>
        <item x="9"/>
        <item x="5"/>
        <item x="8"/>
        <item x="6"/>
        <item x="1"/>
        <item x="10"/>
        <item x="11"/>
        <item t="default"/>
      </items>
    </pivotField>
    <pivotField axis="axisCol" compact="0" outline="0" showAll="0">
      <items count="4">
        <item x="2"/>
        <item x="1"/>
        <item x="0"/>
        <item t="default"/>
      </items>
    </pivotField>
    <pivotField compact="0" outline="0" showAll="0">
      <items count="5">
        <item x="1"/>
        <item x="2"/>
        <item x="0"/>
        <item x="3"/>
        <item t="default"/>
      </items>
    </pivotField>
    <pivotField compact="0" outline="0" showAll="0"/>
  </pivotFields>
  <rowFields count="1">
    <field x="8"/>
  </rowFields>
  <rowItems count="13">
    <i>
      <x/>
    </i>
    <i>
      <x v="1"/>
    </i>
    <i>
      <x v="2"/>
    </i>
    <i>
      <x v="3"/>
    </i>
    <i>
      <x v="4"/>
    </i>
    <i>
      <x v="5"/>
    </i>
    <i>
      <x v="6"/>
    </i>
    <i>
      <x v="7"/>
    </i>
    <i>
      <x v="8"/>
    </i>
    <i>
      <x v="9"/>
    </i>
    <i>
      <x v="10"/>
    </i>
    <i>
      <x v="11"/>
    </i>
    <i t="grand">
      <x/>
    </i>
  </rowItems>
  <colFields count="1">
    <field x="9"/>
  </colFields>
  <colItems count="4">
    <i>
      <x/>
    </i>
    <i>
      <x v="1"/>
    </i>
    <i>
      <x v="2"/>
    </i>
    <i t="grand">
      <x/>
    </i>
  </colItems>
  <dataFields count="1">
    <dataField name="Sum of Total Sale" fld="6" baseField="0" baseItem="0"/>
  </dataFields>
  <formats count="1">
    <format dxfId="28">
      <pivotArea outline="0" collapsedLevelsAreSubtotals="1" fieldPosition="0"/>
    </format>
  </formats>
  <chartFormats count="6">
    <chartFormat chart="12" format="0" series="1">
      <pivotArea type="data" outline="0" fieldPosition="0">
        <references count="2">
          <reference field="4294967294" count="1" selected="0">
            <x v="0"/>
          </reference>
          <reference field="9" count="1" selected="0">
            <x v="0"/>
          </reference>
        </references>
      </pivotArea>
    </chartFormat>
    <chartFormat chart="12" format="1" series="1">
      <pivotArea type="data" outline="0" fieldPosition="0">
        <references count="2">
          <reference field="4294967294" count="1" selected="0">
            <x v="0"/>
          </reference>
          <reference field="9" count="1" selected="0">
            <x v="1"/>
          </reference>
        </references>
      </pivotArea>
    </chartFormat>
    <chartFormat chart="12" format="2" series="1">
      <pivotArea type="data" outline="0" fieldPosition="0">
        <references count="2">
          <reference field="4294967294" count="1" selected="0">
            <x v="0"/>
          </reference>
          <reference field="9" count="1" selected="0">
            <x v="2"/>
          </reference>
        </references>
      </pivotArea>
    </chartFormat>
    <chartFormat chart="18" format="6" series="1">
      <pivotArea type="data" outline="0" fieldPosition="0">
        <references count="2">
          <reference field="4294967294" count="1" selected="0">
            <x v="0"/>
          </reference>
          <reference field="9" count="1" selected="0">
            <x v="0"/>
          </reference>
        </references>
      </pivotArea>
    </chartFormat>
    <chartFormat chart="18" format="7" series="1">
      <pivotArea type="data" outline="0" fieldPosition="0">
        <references count="2">
          <reference field="4294967294" count="1" selected="0">
            <x v="0"/>
          </reference>
          <reference field="9" count="1" selected="0">
            <x v="1"/>
          </reference>
        </references>
      </pivotArea>
    </chartFormat>
    <chartFormat chart="18"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AB2B8-3845-48F5-BCB5-9FC64695C272}" name="PivotTable12"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C97:E102" firstHeaderRow="0" firstDataRow="1" firstDataCol="1"/>
  <pivotFields count="12">
    <pivotField compact="0" outline="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compact="0" outline="0" showAll="0"/>
    <pivotField compact="0" outline="0" showAll="0"/>
    <pivotField compact="0" outline="0" showAll="0">
      <items count="9">
        <item x="1"/>
        <item x="6"/>
        <item x="2"/>
        <item x="0"/>
        <item x="3"/>
        <item x="5"/>
        <item x="7"/>
        <item x="4"/>
        <item t="default"/>
      </items>
    </pivotField>
    <pivotField compact="0" outline="0" showAll="0"/>
    <pivotField compact="0" outline="0" showAll="0"/>
    <pivotField dataField="1" compact="0" outline="0" showAll="0"/>
    <pivotField compact="0" numFmtId="14" outline="0" showAll="0"/>
    <pivotField compact="0" outline="0" showAll="0">
      <items count="13">
        <item x="3"/>
        <item x="0"/>
        <item x="7"/>
        <item x="2"/>
        <item x="4"/>
        <item x="9"/>
        <item x="5"/>
        <item x="8"/>
        <item x="6"/>
        <item x="1"/>
        <item x="10"/>
        <item x="11"/>
        <item t="default"/>
      </items>
    </pivotField>
    <pivotField compact="0" outline="0" showAll="0">
      <items count="4">
        <item x="2"/>
        <item x="1"/>
        <item x="0"/>
        <item t="default"/>
      </items>
    </pivotField>
    <pivotField axis="axisRow" compact="0" outline="0" showAll="0">
      <items count="5">
        <item x="1"/>
        <item x="2"/>
        <item x="0"/>
        <item x="3"/>
        <item t="default"/>
      </items>
    </pivotField>
    <pivotField compact="0" outline="0" showAll="0"/>
  </pivotFields>
  <rowFields count="1">
    <field x="10"/>
  </rowFields>
  <rowItems count="5">
    <i>
      <x/>
    </i>
    <i>
      <x v="1"/>
    </i>
    <i>
      <x v="2"/>
    </i>
    <i>
      <x v="3"/>
    </i>
    <i t="grand">
      <x/>
    </i>
  </rowItems>
  <colFields count="1">
    <field x="-2"/>
  </colFields>
  <colItems count="2">
    <i>
      <x/>
    </i>
    <i i="1">
      <x v="1"/>
    </i>
  </colItems>
  <dataFields count="2">
    <dataField name="Sum of Total Sale" fld="6" baseField="0" baseItem="0"/>
    <dataField name="% of Total Sale" fld="6" showDataAs="percentOfTotal" baseField="0" baseItem="0" numFmtId="10"/>
  </dataFields>
  <formats count="2">
    <format dxfId="31">
      <pivotArea outline="0" collapsedLevelsAreSubtotals="1" fieldPosition="0"/>
    </format>
    <format dxfId="27">
      <pivotArea outline="0" fieldPosition="0">
        <references count="1">
          <reference field="4294967294" count="1">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8D0AF4-0F8E-475B-99CB-42337BF8D2D6}" name="PivotTable11"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C83:E88" firstHeaderRow="0" firstDataRow="1" firstDataCol="1"/>
  <pivotFields count="12">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axis="axisRow"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s>
  <rowFields count="1">
    <field x="10"/>
  </rowFields>
  <rowItems count="5">
    <i>
      <x/>
    </i>
    <i>
      <x v="2"/>
    </i>
    <i>
      <x v="3"/>
    </i>
    <i>
      <x v="1"/>
    </i>
    <i t="grand">
      <x/>
    </i>
  </rowItems>
  <colFields count="1">
    <field x="-2"/>
  </colFields>
  <colItems count="2">
    <i>
      <x/>
    </i>
    <i i="1">
      <x v="1"/>
    </i>
  </colItems>
  <dataFields count="2">
    <dataField name="Sum of Total Sale" fld="6" baseField="0" baseItem="0"/>
    <dataField name="% of Sales" fld="6" showDataAs="percentOfTotal" baseField="0" baseItem="0" numFmtId="10"/>
  </dataFields>
  <formats count="2">
    <format dxfId="30">
      <pivotArea outline="0" collapsedLevelsAreSubtotals="1" fieldPosition="0"/>
    </format>
    <format dxfId="29">
      <pivotArea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B57CB0-78A5-4909-994B-C34E4599F46C}" name="PivotTable10"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C66:D72" firstHeaderRow="1" firstDataRow="1" firstDataCol="1" rowPageCount="1" colPageCount="1"/>
  <pivotFields count="12">
    <pivotField axis="axisRow" compact="0" outline="0" showAll="0" measureFilter="1" sortType="a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axis="axisPage"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items count="515">
        <item x="207"/>
        <item x="442"/>
        <item x="261"/>
        <item x="3"/>
        <item x="118"/>
        <item x="513"/>
        <item x="366"/>
        <item x="370"/>
        <item x="151"/>
        <item x="346"/>
        <item x="307"/>
        <item x="340"/>
        <item x="493"/>
        <item x="162"/>
        <item x="342"/>
        <item x="285"/>
        <item x="509"/>
        <item x="345"/>
        <item x="437"/>
        <item x="17"/>
        <item x="253"/>
        <item x="368"/>
        <item x="26"/>
        <item x="191"/>
        <item x="463"/>
        <item x="388"/>
        <item x="470"/>
        <item x="174"/>
        <item x="75"/>
        <item x="161"/>
        <item x="456"/>
        <item x="279"/>
        <item x="213"/>
        <item x="110"/>
        <item x="164"/>
        <item x="282"/>
        <item x="320"/>
        <item x="68"/>
        <item x="88"/>
        <item x="61"/>
        <item x="74"/>
        <item x="491"/>
        <item x="482"/>
        <item x="119"/>
        <item x="158"/>
        <item x="512"/>
        <item x="309"/>
        <item x="414"/>
        <item x="295"/>
        <item x="14"/>
        <item x="474"/>
        <item x="146"/>
        <item x="39"/>
        <item x="197"/>
        <item x="371"/>
        <item x="170"/>
        <item x="227"/>
        <item x="304"/>
        <item x="93"/>
        <item x="58"/>
        <item x="258"/>
        <item x="35"/>
        <item x="391"/>
        <item x="16"/>
        <item x="127"/>
        <item x="89"/>
        <item x="180"/>
        <item x="308"/>
        <item x="41"/>
        <item x="339"/>
        <item x="264"/>
        <item x="165"/>
        <item x="187"/>
        <item x="398"/>
        <item x="215"/>
        <item x="267"/>
        <item x="223"/>
        <item x="50"/>
        <item x="84"/>
        <item x="380"/>
        <item x="249"/>
        <item x="262"/>
        <item x="66"/>
        <item x="420"/>
        <item x="237"/>
        <item x="325"/>
        <item x="311"/>
        <item x="386"/>
        <item x="224"/>
        <item x="196"/>
        <item x="280"/>
        <item x="487"/>
        <item x="37"/>
        <item x="417"/>
        <item x="412"/>
        <item x="401"/>
        <item x="481"/>
        <item x="375"/>
        <item x="142"/>
        <item x="462"/>
        <item x="43"/>
        <item x="217"/>
        <item x="436"/>
        <item x="42"/>
        <item x="85"/>
        <item x="459"/>
        <item x="423"/>
        <item x="25"/>
        <item x="336"/>
        <item x="78"/>
        <item x="205"/>
        <item x="40"/>
        <item x="86"/>
        <item x="64"/>
        <item x="441"/>
        <item x="433"/>
        <item x="428"/>
        <item x="111"/>
        <item x="52"/>
        <item x="343"/>
        <item x="357"/>
        <item x="382"/>
        <item x="245"/>
        <item x="9"/>
        <item x="149"/>
        <item x="471"/>
        <item x="419"/>
        <item x="150"/>
        <item x="24"/>
        <item x="214"/>
        <item x="349"/>
        <item x="108"/>
        <item x="467"/>
        <item x="109"/>
        <item x="270"/>
        <item x="335"/>
        <item x="447"/>
        <item x="429"/>
        <item x="53"/>
        <item x="96"/>
        <item x="489"/>
        <item x="402"/>
        <item x="105"/>
        <item x="32"/>
        <item x="1"/>
        <item x="297"/>
        <item x="124"/>
        <item x="500"/>
        <item x="131"/>
        <item x="203"/>
        <item x="415"/>
        <item x="141"/>
        <item x="473"/>
        <item x="290"/>
        <item x="263"/>
        <item x="97"/>
        <item x="329"/>
        <item x="284"/>
        <item x="494"/>
        <item x="83"/>
        <item x="73"/>
        <item x="506"/>
        <item x="404"/>
        <item x="310"/>
        <item x="202"/>
        <item x="128"/>
        <item x="123"/>
        <item x="385"/>
        <item x="347"/>
        <item x="116"/>
        <item x="12"/>
        <item x="229"/>
        <item x="332"/>
        <item x="457"/>
        <item x="133"/>
        <item x="148"/>
        <item x="56"/>
        <item x="90"/>
        <item x="200"/>
        <item x="407"/>
        <item x="498"/>
        <item x="94"/>
        <item x="365"/>
        <item x="257"/>
        <item x="461"/>
        <item x="475"/>
        <item x="81"/>
        <item x="91"/>
        <item x="373"/>
        <item x="356"/>
        <item x="4"/>
        <item x="378"/>
        <item x="313"/>
        <item x="499"/>
        <item x="281"/>
        <item x="354"/>
        <item x="183"/>
        <item x="82"/>
        <item x="63"/>
        <item x="243"/>
        <item x="132"/>
        <item x="80"/>
        <item x="102"/>
        <item x="379"/>
        <item x="299"/>
        <item x="181"/>
        <item x="15"/>
        <item x="209"/>
        <item x="460"/>
        <item x="269"/>
        <item x="204"/>
        <item x="352"/>
        <item x="184"/>
        <item x="23"/>
        <item x="166"/>
        <item x="144"/>
        <item x="376"/>
        <item x="70"/>
        <item x="411"/>
        <item x="176"/>
        <item x="445"/>
        <item x="199"/>
        <item x="235"/>
        <item x="305"/>
        <item x="65"/>
        <item x="47"/>
        <item x="49"/>
        <item x="294"/>
        <item x="318"/>
        <item x="208"/>
        <item x="192"/>
        <item x="48"/>
        <item x="34"/>
        <item x="369"/>
        <item x="115"/>
        <item x="98"/>
        <item x="322"/>
        <item x="260"/>
        <item x="291"/>
        <item x="29"/>
        <item x="426"/>
        <item x="173"/>
        <item x="387"/>
        <item x="95"/>
        <item x="454"/>
        <item x="464"/>
        <item x="138"/>
        <item x="114"/>
        <item x="104"/>
        <item x="331"/>
        <item x="21"/>
        <item x="466"/>
        <item x="140"/>
        <item x="449"/>
        <item x="434"/>
        <item x="483"/>
        <item x="67"/>
        <item x="409"/>
        <item x="38"/>
        <item x="372"/>
        <item x="468"/>
        <item x="135"/>
        <item x="167"/>
        <item x="8"/>
        <item x="287"/>
        <item x="22"/>
        <item x="157"/>
        <item x="219"/>
        <item x="333"/>
        <item x="126"/>
        <item x="416"/>
        <item x="246"/>
        <item x="393"/>
        <item x="233"/>
        <item x="145"/>
        <item x="60"/>
        <item x="112"/>
        <item x="195"/>
        <item x="186"/>
        <item x="421"/>
        <item x="465"/>
        <item x="435"/>
        <item x="438"/>
        <item x="377"/>
        <item x="188"/>
        <item x="163"/>
        <item x="410"/>
        <item x="57"/>
        <item x="390"/>
        <item x="389"/>
        <item x="443"/>
        <item x="247"/>
        <item x="383"/>
        <item x="300"/>
        <item x="446"/>
        <item x="222"/>
        <item x="359"/>
        <item x="312"/>
        <item x="327"/>
        <item x="477"/>
        <item x="361"/>
        <item x="289"/>
        <item x="296"/>
        <item x="323"/>
        <item x="248"/>
        <item x="338"/>
        <item x="272"/>
        <item x="453"/>
        <item x="303"/>
        <item x="172"/>
        <item x="381"/>
        <item x="69"/>
        <item x="120"/>
        <item x="30"/>
        <item x="306"/>
        <item x="92"/>
        <item x="492"/>
        <item x="469"/>
        <item x="265"/>
        <item x="7"/>
        <item x="406"/>
        <item x="239"/>
        <item x="130"/>
        <item x="293"/>
        <item x="277"/>
        <item x="20"/>
        <item x="241"/>
        <item x="476"/>
        <item x="395"/>
        <item x="54"/>
        <item x="0"/>
        <item x="507"/>
        <item x="103"/>
        <item x="360"/>
        <item x="319"/>
        <item x="472"/>
        <item x="351"/>
        <item x="478"/>
        <item x="178"/>
        <item x="334"/>
        <item x="193"/>
        <item x="231"/>
        <item x="46"/>
        <item x="286"/>
        <item x="99"/>
        <item x="121"/>
        <item x="125"/>
        <item x="143"/>
        <item x="364"/>
        <item x="221"/>
        <item x="431"/>
        <item x="384"/>
        <item x="432"/>
        <item x="510"/>
        <item x="76"/>
        <item x="353"/>
        <item x="206"/>
        <item x="100"/>
        <item x="503"/>
        <item x="242"/>
        <item x="448"/>
        <item x="337"/>
        <item x="153"/>
        <item x="497"/>
        <item x="485"/>
        <item x="190"/>
        <item x="326"/>
        <item x="45"/>
        <item x="324"/>
        <item x="101"/>
        <item x="362"/>
        <item x="392"/>
        <item x="137"/>
        <item x="240"/>
        <item x="424"/>
        <item x="316"/>
        <item x="210"/>
        <item x="397"/>
        <item x="62"/>
        <item x="268"/>
        <item x="358"/>
        <item x="283"/>
        <item x="44"/>
        <item x="107"/>
        <item x="256"/>
        <item x="160"/>
        <item x="355"/>
        <item x="271"/>
        <item x="302"/>
        <item x="238"/>
        <item x="444"/>
        <item x="511"/>
        <item x="495"/>
        <item x="505"/>
        <item x="77"/>
        <item x="113"/>
        <item x="59"/>
        <item x="413"/>
        <item x="439"/>
        <item x="154"/>
        <item x="171"/>
        <item x="278"/>
        <item x="175"/>
        <item x="273"/>
        <item x="179"/>
        <item x="177"/>
        <item x="488"/>
        <item x="374"/>
        <item x="232"/>
        <item x="394"/>
        <item x="251"/>
        <item x="484"/>
        <item x="315"/>
        <item x="152"/>
        <item x="226"/>
        <item x="2"/>
        <item x="508"/>
        <item x="450"/>
        <item x="159"/>
        <item x="234"/>
        <item x="254"/>
        <item x="496"/>
        <item x="136"/>
        <item x="330"/>
        <item x="6"/>
        <item x="363"/>
        <item x="317"/>
        <item x="122"/>
        <item x="430"/>
        <item x="350"/>
        <item x="451"/>
        <item x="168"/>
        <item x="408"/>
        <item x="314"/>
        <item x="440"/>
        <item x="502"/>
        <item x="216"/>
        <item x="480"/>
        <item x="13"/>
        <item x="274"/>
        <item x="301"/>
        <item x="344"/>
        <item x="71"/>
        <item x="321"/>
        <item x="33"/>
        <item x="211"/>
        <item x="418"/>
        <item x="182"/>
        <item x="218"/>
        <item x="486"/>
        <item x="328"/>
        <item x="479"/>
        <item x="292"/>
        <item x="106"/>
        <item x="134"/>
        <item x="427"/>
        <item x="198"/>
        <item x="236"/>
        <item x="5"/>
        <item x="266"/>
        <item x="250"/>
        <item x="403"/>
        <item x="396"/>
        <item x="31"/>
        <item x="156"/>
        <item x="194"/>
        <item x="405"/>
        <item x="11"/>
        <item x="212"/>
        <item x="255"/>
        <item x="189"/>
        <item x="169"/>
        <item x="348"/>
        <item x="87"/>
        <item x="452"/>
        <item x="298"/>
        <item x="230"/>
        <item x="399"/>
        <item x="458"/>
        <item x="422"/>
        <item x="455"/>
        <item x="244"/>
        <item x="228"/>
        <item x="504"/>
        <item x="36"/>
        <item x="275"/>
        <item x="55"/>
        <item x="139"/>
        <item x="79"/>
        <item x="117"/>
        <item x="220"/>
        <item x="185"/>
        <item x="225"/>
        <item x="259"/>
        <item x="490"/>
        <item x="147"/>
        <item x="367"/>
        <item x="252"/>
        <item x="129"/>
        <item x="10"/>
        <item x="19"/>
        <item x="400"/>
        <item x="276"/>
        <item x="51"/>
        <item x="18"/>
        <item x="425"/>
        <item x="72"/>
        <item x="155"/>
        <item x="501"/>
        <item x="288"/>
        <item x="341"/>
        <item x="27"/>
        <item x="28"/>
        <item x="201"/>
        <item t="default"/>
      </items>
    </pivotField>
    <pivotField compact="0" numFmtId="14" outline="0" showAll="0"/>
    <pivotField compact="0" outline="0" showAll="0"/>
    <pivotField compact="0" outline="0" showAll="0"/>
    <pivotField compact="0" outline="0" showAll="0"/>
    <pivotField compact="0" outline="0" showAll="0"/>
  </pivotFields>
  <rowFields count="1">
    <field x="0"/>
  </rowFields>
  <rowItems count="6">
    <i>
      <x v="27"/>
    </i>
    <i>
      <x v="28"/>
    </i>
    <i>
      <x v="210"/>
    </i>
    <i>
      <x v="306"/>
    </i>
    <i>
      <x v="362"/>
    </i>
    <i t="grand">
      <x/>
    </i>
  </rowItems>
  <colItems count="1">
    <i/>
  </colItems>
  <pageFields count="1">
    <pageField fld="1" item="0" hier="-1"/>
  </pageFields>
  <dataFields count="1">
    <dataField name="Sum of Total Sale" fld="6" baseField="0" baseItem="0"/>
  </dataFields>
  <formats count="1">
    <format dxfId="32">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36F967-0786-4C5E-86FF-35D483975405}" name="PivotTable9"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C55:E58" firstHeaderRow="0" firstDataRow="1" firstDataCol="1"/>
  <pivotFields count="12">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s>
  <rowFields count="1">
    <field x="1"/>
  </rowFields>
  <rowItems count="3">
    <i>
      <x/>
    </i>
    <i>
      <x v="1"/>
    </i>
    <i t="grand">
      <x/>
    </i>
  </rowItems>
  <colFields count="1">
    <field x="-2"/>
  </colFields>
  <colItems count="2">
    <i>
      <x/>
    </i>
    <i i="1">
      <x v="1"/>
    </i>
  </colItems>
  <dataFields count="2">
    <dataField name="Sum of Total Sale" fld="6" baseField="0" baseItem="0" numFmtId="164"/>
    <dataField name="Sum of Total Sale2" fld="6" showDataAs="percentOfTotal" baseField="0" baseItem="0" numFmtId="10"/>
  </dataFields>
  <formats count="2">
    <format dxfId="33">
      <pivotArea outline="0" collapsedLevelsAreSubtotals="1" fieldPosition="0"/>
    </format>
    <format dxfId="19">
      <pivotArea outline="0" fieldPosition="0">
        <references count="1">
          <reference field="4294967294" count="1">
            <x v="1"/>
          </reference>
        </references>
      </pivotArea>
    </format>
  </formats>
  <chartFormats count="6">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9" format="7"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7AA831-EFD7-4329-9B35-EEE2F2A8BA09}" name="PivotTable8"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C39:D50" firstHeaderRow="1" firstDataRow="1" firstDataCol="1"/>
  <pivotFields count="12">
    <pivotField compact="0" outline="0" showAll="0"/>
    <pivotField compact="0" outline="0" showAll="0"/>
    <pivotField axis="axisRow" compact="0" outline="0" showAll="0" measureFilter="1" sortType="descending">
      <items count="21">
        <item x="13"/>
        <item x="14"/>
        <item x="19"/>
        <item x="15"/>
        <item x="16"/>
        <item x="12"/>
        <item x="6"/>
        <item x="17"/>
        <item x="0"/>
        <item x="2"/>
        <item x="11"/>
        <item x="9"/>
        <item x="7"/>
        <item x="8"/>
        <item x="1"/>
        <item x="3"/>
        <item x="5"/>
        <item x="4"/>
        <item x="10"/>
        <item x="1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s>
  <rowFields count="1">
    <field x="2"/>
  </rowFields>
  <rowItems count="11">
    <i>
      <x v="6"/>
    </i>
    <i>
      <x v="9"/>
    </i>
    <i>
      <x v="11"/>
    </i>
    <i>
      <x v="18"/>
    </i>
    <i>
      <x v="8"/>
    </i>
    <i>
      <x v="14"/>
    </i>
    <i>
      <x v="10"/>
    </i>
    <i>
      <x v="12"/>
    </i>
    <i>
      <x v="16"/>
    </i>
    <i>
      <x v="1"/>
    </i>
    <i t="grand">
      <x/>
    </i>
  </rowItems>
  <colItems count="1">
    <i/>
  </colItems>
  <dataFields count="1">
    <dataField name="Sum of Total Sale" fld="6" baseField="0" baseItem="0"/>
  </dataFields>
  <formats count="1">
    <format dxfId="35">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383B9E-FED9-4EAA-A078-8DC5A09669D0}" name="PivotTable7"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C21:D34" firstHeaderRow="1" firstDataRow="1" firstDataCol="1"/>
  <pivotFields count="12">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axis="axisRow" compact="0" outline="0" showAll="0">
      <items count="13">
        <item x="3"/>
        <item x="0"/>
        <item x="7"/>
        <item x="2"/>
        <item x="4"/>
        <item x="9"/>
        <item x="5"/>
        <item x="8"/>
        <item x="6"/>
        <item x="1"/>
        <item x="10"/>
        <item x="11"/>
        <item t="default"/>
      </items>
    </pivotField>
    <pivotField compact="0" outline="0" showAll="0"/>
    <pivotField compact="0" outline="0" showAll="0"/>
    <pivotField compact="0" outline="0" showAll="0"/>
  </pivotFields>
  <rowFields count="1">
    <field x="8"/>
  </rowFields>
  <rowItems count="13">
    <i>
      <x/>
    </i>
    <i>
      <x v="1"/>
    </i>
    <i>
      <x v="2"/>
    </i>
    <i>
      <x v="3"/>
    </i>
    <i>
      <x v="4"/>
    </i>
    <i>
      <x v="5"/>
    </i>
    <i>
      <x v="6"/>
    </i>
    <i>
      <x v="7"/>
    </i>
    <i>
      <x v="8"/>
    </i>
    <i>
      <x v="9"/>
    </i>
    <i>
      <x v="10"/>
    </i>
    <i>
      <x v="11"/>
    </i>
    <i t="grand">
      <x/>
    </i>
  </rowItems>
  <colItems count="1">
    <i/>
  </colItems>
  <dataFields count="1">
    <dataField name="Sum of Total Sale" fld="6" baseField="0" baseItem="0"/>
  </dataFields>
  <formats count="1">
    <format dxfId="36">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DCEC20-BE9E-4028-8AA1-E84F4A1BD2B9}" name="PivotTable6"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C8:E12" firstHeaderRow="0" firstDataRow="1" firstDataCol="1"/>
  <pivotFields count="12">
    <pivotField compact="0" outline="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m="1" x="507"/>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380"/>
        <item x="487"/>
        <item x="488"/>
        <item x="489"/>
        <item x="490"/>
        <item x="491"/>
        <item x="492"/>
        <item x="493"/>
        <item x="494"/>
        <item x="495"/>
        <item x="496"/>
        <item x="497"/>
        <item x="498"/>
        <item x="499"/>
        <item x="500"/>
        <item x="501"/>
        <item x="502"/>
        <item x="503"/>
        <item x="504"/>
        <item x="505"/>
        <item x="506"/>
        <item t="default"/>
      </items>
    </pivotField>
    <pivotField compact="0" outline="0" showAll="0">
      <items count="3">
        <item x="0"/>
        <item x="1"/>
        <item t="default"/>
      </items>
    </pivotField>
    <pivotField compact="0" outline="0" showAll="0">
      <items count="21">
        <item x="13"/>
        <item x="14"/>
        <item x="19"/>
        <item x="15"/>
        <item x="16"/>
        <item x="12"/>
        <item x="6"/>
        <item x="17"/>
        <item x="0"/>
        <item x="2"/>
        <item x="11"/>
        <item x="9"/>
        <item x="7"/>
        <item x="8"/>
        <item x="1"/>
        <item x="3"/>
        <item x="5"/>
        <item x="4"/>
        <item x="10"/>
        <item x="18"/>
        <item t="default"/>
      </items>
    </pivotField>
    <pivotField compact="0" outline="0" showAll="0">
      <items count="9">
        <item x="1"/>
        <item x="6"/>
        <item x="2"/>
        <item x="0"/>
        <item x="3"/>
        <item x="5"/>
        <item x="7"/>
        <item x="4"/>
        <item t="default"/>
      </items>
    </pivotField>
    <pivotField compact="0" outline="0" showAll="0">
      <items count="76">
        <item x="61"/>
        <item x="37"/>
        <item x="23"/>
        <item x="13"/>
        <item x="36"/>
        <item x="22"/>
        <item x="46"/>
        <item x="5"/>
        <item x="68"/>
        <item x="73"/>
        <item x="63"/>
        <item x="1"/>
        <item x="50"/>
        <item x="15"/>
        <item x="56"/>
        <item x="25"/>
        <item x="8"/>
        <item x="71"/>
        <item x="17"/>
        <item x="72"/>
        <item x="19"/>
        <item x="54"/>
        <item x="20"/>
        <item x="16"/>
        <item x="44"/>
        <item x="66"/>
        <item x="28"/>
        <item x="33"/>
        <item x="29"/>
        <item x="14"/>
        <item x="55"/>
        <item x="59"/>
        <item x="49"/>
        <item x="58"/>
        <item x="41"/>
        <item x="31"/>
        <item x="12"/>
        <item x="30"/>
        <item x="0"/>
        <item x="47"/>
        <item x="62"/>
        <item x="70"/>
        <item x="57"/>
        <item x="69"/>
        <item x="39"/>
        <item x="7"/>
        <item x="27"/>
        <item x="2"/>
        <item x="52"/>
        <item x="45"/>
        <item x="6"/>
        <item x="18"/>
        <item x="26"/>
        <item x="32"/>
        <item x="51"/>
        <item x="38"/>
        <item x="64"/>
        <item x="42"/>
        <item x="24"/>
        <item x="65"/>
        <item x="9"/>
        <item x="34"/>
        <item x="3"/>
        <item x="43"/>
        <item x="40"/>
        <item x="48"/>
        <item x="53"/>
        <item x="21"/>
        <item x="4"/>
        <item x="10"/>
        <item x="74"/>
        <item x="11"/>
        <item x="67"/>
        <item x="35"/>
        <item x="60"/>
        <item t="default"/>
      </items>
    </pivotField>
    <pivotField compact="0" outline="0" showAll="0">
      <items count="500">
        <item x="253"/>
        <item x="199"/>
        <item x="112"/>
        <item x="356"/>
        <item x="332"/>
        <item x="295"/>
        <item x="3"/>
        <item x="326"/>
        <item x="478"/>
        <item x="276"/>
        <item x="422"/>
        <item x="16"/>
        <item x="354"/>
        <item x="328"/>
        <item x="24"/>
        <item x="183"/>
        <item x="448"/>
        <item x="205"/>
        <item x="373"/>
        <item x="455"/>
        <item x="71"/>
        <item x="427"/>
        <item x="497"/>
        <item x="441"/>
        <item x="270"/>
        <item x="104"/>
        <item x="273"/>
        <item x="308"/>
        <item x="167"/>
        <item x="70"/>
        <item x="163"/>
        <item x="467"/>
        <item x="113"/>
        <item x="151"/>
        <item x="498"/>
        <item x="399"/>
        <item x="284"/>
        <item x="14"/>
        <item x="459"/>
        <item x="139"/>
        <item x="189"/>
        <item x="357"/>
        <item x="219"/>
        <item x="292"/>
        <item x="121"/>
        <item x="57"/>
        <item x="250"/>
        <item x="472"/>
        <item x="494"/>
        <item x="325"/>
        <item x="256"/>
        <item x="254"/>
        <item x="158"/>
        <item x="155"/>
        <item x="179"/>
        <item x="383"/>
        <item x="207"/>
        <item x="259"/>
        <item x="47"/>
        <item x="87"/>
        <item x="105"/>
        <item x="296"/>
        <item x="365"/>
        <item x="241"/>
        <item x="38"/>
        <item x="299"/>
        <item x="229"/>
        <item x="216"/>
        <item x="188"/>
        <item x="271"/>
        <item x="54"/>
        <item x="35"/>
        <item x="402"/>
        <item x="297"/>
        <item x="386"/>
        <item x="144"/>
        <item x="392"/>
        <item x="59"/>
        <item x="361"/>
        <item x="135"/>
        <item x="447"/>
        <item x="426"/>
        <item x="209"/>
        <item x="421"/>
        <item x="80"/>
        <item x="387"/>
        <item x="23"/>
        <item x="322"/>
        <item x="122"/>
        <item x="37"/>
        <item x="81"/>
        <item x="245"/>
        <item x="237"/>
        <item x="418"/>
        <item x="413"/>
        <item x="49"/>
        <item x="329"/>
        <item x="408"/>
        <item x="367"/>
        <item x="9"/>
        <item x="142"/>
        <item x="456"/>
        <item x="404"/>
        <item x="143"/>
        <item x="206"/>
        <item x="335"/>
        <item x="196"/>
        <item x="102"/>
        <item x="452"/>
        <item x="103"/>
        <item x="52"/>
        <item x="321"/>
        <item x="432"/>
        <item x="414"/>
        <item x="90"/>
        <item x="474"/>
        <item x="343"/>
        <item x="99"/>
        <item x="30"/>
        <item x="1"/>
        <item x="118"/>
        <item x="485"/>
        <item x="476"/>
        <item x="176"/>
        <item x="125"/>
        <item x="195"/>
        <item x="400"/>
        <item x="134"/>
        <item x="483"/>
        <item x="458"/>
        <item x="91"/>
        <item x="316"/>
        <item x="275"/>
        <item x="78"/>
        <item x="69"/>
        <item x="491"/>
        <item x="389"/>
        <item x="298"/>
        <item x="194"/>
        <item x="128"/>
        <item x="84"/>
        <item x="434"/>
        <item x="333"/>
        <item x="110"/>
        <item x="394"/>
        <item x="12"/>
        <item x="221"/>
        <item x="318"/>
        <item x="117"/>
        <item x="442"/>
        <item x="126"/>
        <item x="141"/>
        <item x="255"/>
        <item x="85"/>
        <item x="192"/>
        <item x="40"/>
        <item x="88"/>
        <item x="351"/>
        <item x="249"/>
        <item x="291"/>
        <item x="446"/>
        <item x="358"/>
        <item x="76"/>
        <item x="86"/>
        <item x="359"/>
        <item x="342"/>
        <item x="4"/>
        <item x="363"/>
        <item x="301"/>
        <item x="484"/>
        <item x="411"/>
        <item x="272"/>
        <item x="445"/>
        <item x="340"/>
        <item x="77"/>
        <item x="235"/>
        <item x="398"/>
        <item x="75"/>
        <item x="96"/>
        <item x="364"/>
        <item x="319"/>
        <item x="174"/>
        <item x="15"/>
        <item x="261"/>
        <item x="197"/>
        <item x="338"/>
        <item x="377"/>
        <item x="21"/>
        <item x="159"/>
        <item x="137"/>
        <item x="362"/>
        <item x="370"/>
        <item x="175"/>
        <item x="66"/>
        <item x="396"/>
        <item x="430"/>
        <item x="227"/>
        <item x="323"/>
        <item x="191"/>
        <item x="293"/>
        <item x="61"/>
        <item x="44"/>
        <item x="46"/>
        <item x="283"/>
        <item x="306"/>
        <item x="45"/>
        <item x="32"/>
        <item x="355"/>
        <item x="109"/>
        <item x="302"/>
        <item x="92"/>
        <item x="471"/>
        <item x="310"/>
        <item x="252"/>
        <item x="187"/>
        <item x="281"/>
        <item x="27"/>
        <item x="166"/>
        <item x="372"/>
        <item x="397"/>
        <item x="439"/>
        <item x="449"/>
        <item x="286"/>
        <item x="131"/>
        <item x="466"/>
        <item x="108"/>
        <item x="11"/>
        <item x="98"/>
        <item x="20"/>
        <item x="34"/>
        <item x="133"/>
        <item x="419"/>
        <item x="468"/>
        <item x="63"/>
        <item x="184"/>
        <item x="33"/>
        <item x="83"/>
        <item x="453"/>
        <item x="160"/>
        <item x="331"/>
        <item x="8"/>
        <item x="203"/>
        <item x="7"/>
        <item x="150"/>
        <item x="211"/>
        <item x="120"/>
        <item x="242"/>
        <item x="401"/>
        <item x="238"/>
        <item x="378"/>
        <item x="225"/>
        <item x="138"/>
        <item x="56"/>
        <item x="106"/>
        <item x="178"/>
        <item x="406"/>
        <item x="257"/>
        <item x="450"/>
        <item x="420"/>
        <item x="479"/>
        <item x="423"/>
        <item x="180"/>
        <item x="22"/>
        <item x="156"/>
        <item x="260"/>
        <item x="53"/>
        <item x="375"/>
        <item x="374"/>
        <item x="428"/>
        <item x="39"/>
        <item x="368"/>
        <item x="288"/>
        <item x="431"/>
        <item x="214"/>
        <item x="352"/>
        <item x="345"/>
        <item x="317"/>
        <item x="300"/>
        <item x="314"/>
        <item x="239"/>
        <item x="462"/>
        <item x="347"/>
        <item x="279"/>
        <item x="285"/>
        <item x="171"/>
        <item x="311"/>
        <item x="240"/>
        <item x="324"/>
        <item x="433"/>
        <item x="264"/>
        <item x="438"/>
        <item x="165"/>
        <item x="366"/>
        <item x="65"/>
        <item x="154"/>
        <item x="114"/>
        <item x="371"/>
        <item x="201"/>
        <item x="28"/>
        <item x="212"/>
        <item x="89"/>
        <item x="477"/>
        <item x="391"/>
        <item x="376"/>
        <item x="231"/>
        <item x="200"/>
        <item x="124"/>
        <item x="282"/>
        <item x="19"/>
        <item x="233"/>
        <item x="461"/>
        <item x="380"/>
        <item x="50"/>
        <item x="148"/>
        <item x="0"/>
        <item x="492"/>
        <item x="36"/>
        <item x="97"/>
        <item x="346"/>
        <item x="307"/>
        <item x="457"/>
        <item x="337"/>
        <item x="463"/>
        <item x="473"/>
        <item x="320"/>
        <item x="60"/>
        <item x="460"/>
        <item x="185"/>
        <item x="223"/>
        <item x="43"/>
        <item x="277"/>
        <item x="93"/>
        <item x="115"/>
        <item x="486"/>
        <item x="353"/>
        <item x="119"/>
        <item x="136"/>
        <item x="334"/>
        <item x="350"/>
        <item x="213"/>
        <item x="416"/>
        <item x="262"/>
        <item x="369"/>
        <item x="10"/>
        <item x="405"/>
        <item x="495"/>
        <item x="72"/>
        <item x="339"/>
        <item x="198"/>
        <item x="94"/>
        <item x="488"/>
        <item x="234"/>
        <item x="146"/>
        <item x="327"/>
        <item x="482"/>
        <item x="470"/>
        <item x="182"/>
        <item x="313"/>
        <item x="42"/>
        <item x="312"/>
        <item x="95"/>
        <item x="348"/>
        <item x="177"/>
        <item x="130"/>
        <item x="217"/>
        <item x="409"/>
        <item x="173"/>
        <item x="304"/>
        <item x="202"/>
        <item x="215"/>
        <item x="74"/>
        <item x="278"/>
        <item x="382"/>
        <item x="64"/>
        <item x="58"/>
        <item x="232"/>
        <item x="344"/>
        <item x="274"/>
        <item x="41"/>
        <item x="101"/>
        <item x="410"/>
        <item x="248"/>
        <item x="153"/>
        <item x="169"/>
        <item x="341"/>
        <item x="263"/>
        <item x="290"/>
        <item x="230"/>
        <item x="429"/>
        <item x="496"/>
        <item x="480"/>
        <item x="490"/>
        <item x="73"/>
        <item x="107"/>
        <item x="55"/>
        <item x="424"/>
        <item x="147"/>
        <item x="395"/>
        <item x="164"/>
        <item x="269"/>
        <item x="385"/>
        <item x="168"/>
        <item x="265"/>
        <item x="172"/>
        <item x="170"/>
        <item x="123"/>
        <item x="360"/>
        <item x="224"/>
        <item x="379"/>
        <item x="243"/>
        <item x="469"/>
        <item x="268"/>
        <item x="303"/>
        <item x="145"/>
        <item x="218"/>
        <item x="2"/>
        <item x="493"/>
        <item x="435"/>
        <item x="280"/>
        <item x="152"/>
        <item x="226"/>
        <item x="246"/>
        <item x="481"/>
        <item x="129"/>
        <item x="6"/>
        <item x="349"/>
        <item x="294"/>
        <item x="116"/>
        <item x="415"/>
        <item x="336"/>
        <item x="436"/>
        <item x="68"/>
        <item x="161"/>
        <item x="393"/>
        <item x="425"/>
        <item x="454"/>
        <item x="487"/>
        <item x="208"/>
        <item x="465"/>
        <item x="13"/>
        <item x="266"/>
        <item x="289"/>
        <item x="330"/>
        <item x="67"/>
        <item x="309"/>
        <item x="244"/>
        <item x="31"/>
        <item x="403"/>
        <item x="210"/>
        <item x="79"/>
        <item x="417"/>
        <item x="315"/>
        <item x="475"/>
        <item x="464"/>
        <item x="100"/>
        <item x="127"/>
        <item x="412"/>
        <item x="157"/>
        <item x="190"/>
        <item x="228"/>
        <item x="5"/>
        <item x="258"/>
        <item x="388"/>
        <item x="381"/>
        <item x="29"/>
        <item x="149"/>
        <item x="140"/>
        <item x="26"/>
        <item x="186"/>
        <item x="444"/>
        <item x="204"/>
        <item x="247"/>
        <item x="181"/>
        <item x="162"/>
        <item x="82"/>
        <item x="437"/>
        <item x="287"/>
        <item x="17"/>
        <item x="222"/>
        <item x="62"/>
        <item x="384"/>
        <item x="251"/>
        <item x="443"/>
        <item x="305"/>
        <item x="407"/>
        <item x="193"/>
        <item x="440"/>
        <item x="390"/>
        <item x="236"/>
        <item x="220"/>
        <item x="489"/>
        <item x="267"/>
        <item x="48"/>
        <item x="451"/>
        <item x="25"/>
        <item x="51"/>
        <item x="132"/>
        <item x="18"/>
        <item x="111"/>
        <item t="default"/>
      </items>
    </pivotField>
    <pivotField dataField="1" compact="0" outline="0" showAll="0">
      <items count="515">
        <item x="207"/>
        <item x="442"/>
        <item x="261"/>
        <item x="3"/>
        <item x="118"/>
        <item x="513"/>
        <item x="366"/>
        <item x="370"/>
        <item x="151"/>
        <item x="346"/>
        <item x="307"/>
        <item x="340"/>
        <item x="493"/>
        <item x="162"/>
        <item x="342"/>
        <item x="285"/>
        <item x="509"/>
        <item x="345"/>
        <item x="437"/>
        <item x="17"/>
        <item x="253"/>
        <item x="368"/>
        <item x="26"/>
        <item x="191"/>
        <item x="463"/>
        <item x="388"/>
        <item x="470"/>
        <item x="174"/>
        <item x="75"/>
        <item x="161"/>
        <item x="456"/>
        <item x="279"/>
        <item x="213"/>
        <item x="110"/>
        <item x="164"/>
        <item x="282"/>
        <item x="320"/>
        <item x="68"/>
        <item x="88"/>
        <item x="61"/>
        <item x="74"/>
        <item x="491"/>
        <item x="482"/>
        <item x="119"/>
        <item x="158"/>
        <item x="512"/>
        <item x="309"/>
        <item x="414"/>
        <item x="295"/>
        <item x="14"/>
        <item x="474"/>
        <item x="146"/>
        <item x="39"/>
        <item x="197"/>
        <item x="371"/>
        <item x="170"/>
        <item x="227"/>
        <item x="304"/>
        <item x="93"/>
        <item x="58"/>
        <item x="258"/>
        <item x="35"/>
        <item x="391"/>
        <item x="16"/>
        <item x="127"/>
        <item x="89"/>
        <item x="180"/>
        <item x="308"/>
        <item x="41"/>
        <item x="339"/>
        <item x="264"/>
        <item x="165"/>
        <item x="187"/>
        <item x="398"/>
        <item x="215"/>
        <item x="267"/>
        <item x="223"/>
        <item x="50"/>
        <item x="84"/>
        <item x="380"/>
        <item x="249"/>
        <item x="262"/>
        <item x="66"/>
        <item x="420"/>
        <item x="237"/>
        <item x="325"/>
        <item x="311"/>
        <item x="386"/>
        <item x="224"/>
        <item x="196"/>
        <item x="280"/>
        <item x="487"/>
        <item x="37"/>
        <item x="417"/>
        <item x="412"/>
        <item x="401"/>
        <item x="481"/>
        <item x="375"/>
        <item x="142"/>
        <item x="462"/>
        <item x="43"/>
        <item x="217"/>
        <item x="436"/>
        <item x="42"/>
        <item x="85"/>
        <item x="459"/>
        <item x="423"/>
        <item x="25"/>
        <item x="336"/>
        <item x="78"/>
        <item x="205"/>
        <item x="40"/>
        <item x="86"/>
        <item x="64"/>
        <item x="441"/>
        <item x="433"/>
        <item x="428"/>
        <item x="111"/>
        <item x="52"/>
        <item x="343"/>
        <item x="357"/>
        <item x="382"/>
        <item x="245"/>
        <item x="9"/>
        <item x="149"/>
        <item x="471"/>
        <item x="419"/>
        <item x="150"/>
        <item x="24"/>
        <item x="214"/>
        <item x="349"/>
        <item x="108"/>
        <item x="467"/>
        <item x="109"/>
        <item x="270"/>
        <item x="335"/>
        <item x="447"/>
        <item x="429"/>
        <item x="53"/>
        <item x="96"/>
        <item x="489"/>
        <item x="402"/>
        <item x="105"/>
        <item x="32"/>
        <item x="1"/>
        <item x="297"/>
        <item x="124"/>
        <item x="500"/>
        <item x="131"/>
        <item x="203"/>
        <item x="415"/>
        <item x="141"/>
        <item x="473"/>
        <item x="290"/>
        <item x="263"/>
        <item x="97"/>
        <item x="329"/>
        <item x="284"/>
        <item x="494"/>
        <item x="83"/>
        <item x="73"/>
        <item x="506"/>
        <item x="404"/>
        <item x="310"/>
        <item x="202"/>
        <item x="128"/>
        <item x="123"/>
        <item x="385"/>
        <item x="347"/>
        <item x="116"/>
        <item x="12"/>
        <item x="229"/>
        <item x="332"/>
        <item x="457"/>
        <item x="133"/>
        <item x="148"/>
        <item x="56"/>
        <item x="90"/>
        <item x="200"/>
        <item x="407"/>
        <item x="498"/>
        <item x="94"/>
        <item x="365"/>
        <item x="257"/>
        <item x="461"/>
        <item x="475"/>
        <item x="81"/>
        <item x="91"/>
        <item x="373"/>
        <item x="356"/>
        <item x="4"/>
        <item x="378"/>
        <item x="313"/>
        <item x="499"/>
        <item x="281"/>
        <item x="354"/>
        <item x="183"/>
        <item x="82"/>
        <item x="63"/>
        <item x="243"/>
        <item x="132"/>
        <item x="80"/>
        <item x="102"/>
        <item x="379"/>
        <item x="299"/>
        <item x="181"/>
        <item x="15"/>
        <item x="209"/>
        <item x="460"/>
        <item x="269"/>
        <item x="204"/>
        <item x="352"/>
        <item x="184"/>
        <item x="23"/>
        <item x="166"/>
        <item x="144"/>
        <item x="376"/>
        <item x="70"/>
        <item x="411"/>
        <item x="176"/>
        <item x="445"/>
        <item x="199"/>
        <item x="235"/>
        <item x="305"/>
        <item x="65"/>
        <item x="47"/>
        <item x="49"/>
        <item x="294"/>
        <item x="318"/>
        <item x="208"/>
        <item x="192"/>
        <item x="48"/>
        <item x="34"/>
        <item x="369"/>
        <item x="115"/>
        <item x="98"/>
        <item x="322"/>
        <item x="260"/>
        <item x="291"/>
        <item x="29"/>
        <item x="426"/>
        <item x="173"/>
        <item x="387"/>
        <item x="95"/>
        <item x="454"/>
        <item x="464"/>
        <item x="138"/>
        <item x="114"/>
        <item x="104"/>
        <item x="331"/>
        <item x="21"/>
        <item x="466"/>
        <item x="140"/>
        <item x="449"/>
        <item x="434"/>
        <item x="483"/>
        <item x="67"/>
        <item x="409"/>
        <item x="38"/>
        <item x="372"/>
        <item x="468"/>
        <item x="135"/>
        <item x="167"/>
        <item x="8"/>
        <item x="287"/>
        <item x="22"/>
        <item x="157"/>
        <item x="219"/>
        <item x="333"/>
        <item x="126"/>
        <item x="416"/>
        <item x="246"/>
        <item x="393"/>
        <item x="233"/>
        <item x="145"/>
        <item x="60"/>
        <item x="112"/>
        <item x="195"/>
        <item x="186"/>
        <item x="421"/>
        <item x="465"/>
        <item x="435"/>
        <item x="438"/>
        <item x="377"/>
        <item x="188"/>
        <item x="163"/>
        <item x="410"/>
        <item x="57"/>
        <item x="390"/>
        <item x="389"/>
        <item x="443"/>
        <item x="247"/>
        <item x="383"/>
        <item x="300"/>
        <item x="446"/>
        <item x="222"/>
        <item x="359"/>
        <item x="312"/>
        <item x="327"/>
        <item x="477"/>
        <item x="361"/>
        <item x="289"/>
        <item x="296"/>
        <item x="323"/>
        <item x="248"/>
        <item x="338"/>
        <item x="272"/>
        <item x="453"/>
        <item x="303"/>
        <item x="172"/>
        <item x="381"/>
        <item x="69"/>
        <item x="120"/>
        <item x="30"/>
        <item x="306"/>
        <item x="92"/>
        <item x="492"/>
        <item x="469"/>
        <item x="265"/>
        <item x="7"/>
        <item x="406"/>
        <item x="239"/>
        <item x="130"/>
        <item x="293"/>
        <item x="277"/>
        <item x="20"/>
        <item x="241"/>
        <item x="476"/>
        <item x="395"/>
        <item x="54"/>
        <item x="0"/>
        <item x="507"/>
        <item x="103"/>
        <item x="360"/>
        <item x="319"/>
        <item x="472"/>
        <item x="351"/>
        <item x="478"/>
        <item x="178"/>
        <item x="334"/>
        <item x="193"/>
        <item x="231"/>
        <item x="46"/>
        <item x="286"/>
        <item x="99"/>
        <item x="121"/>
        <item x="125"/>
        <item x="143"/>
        <item x="364"/>
        <item x="221"/>
        <item x="431"/>
        <item x="384"/>
        <item x="432"/>
        <item x="510"/>
        <item x="76"/>
        <item x="353"/>
        <item x="206"/>
        <item x="100"/>
        <item x="503"/>
        <item x="242"/>
        <item x="448"/>
        <item x="337"/>
        <item x="153"/>
        <item x="497"/>
        <item x="485"/>
        <item x="190"/>
        <item x="326"/>
        <item x="45"/>
        <item x="324"/>
        <item x="101"/>
        <item x="362"/>
        <item x="392"/>
        <item x="137"/>
        <item x="240"/>
        <item x="424"/>
        <item x="316"/>
        <item x="210"/>
        <item x="397"/>
        <item x="62"/>
        <item x="268"/>
        <item x="358"/>
        <item x="283"/>
        <item x="44"/>
        <item x="107"/>
        <item x="256"/>
        <item x="160"/>
        <item x="355"/>
        <item x="271"/>
        <item x="302"/>
        <item x="238"/>
        <item x="444"/>
        <item x="511"/>
        <item x="495"/>
        <item x="505"/>
        <item x="77"/>
        <item x="113"/>
        <item x="59"/>
        <item x="413"/>
        <item x="439"/>
        <item x="154"/>
        <item x="171"/>
        <item x="278"/>
        <item x="175"/>
        <item x="273"/>
        <item x="179"/>
        <item x="177"/>
        <item x="488"/>
        <item x="374"/>
        <item x="232"/>
        <item x="394"/>
        <item x="251"/>
        <item x="484"/>
        <item x="315"/>
        <item x="152"/>
        <item x="226"/>
        <item x="2"/>
        <item x="508"/>
        <item x="450"/>
        <item x="159"/>
        <item x="234"/>
        <item x="254"/>
        <item x="496"/>
        <item x="136"/>
        <item x="330"/>
        <item x="6"/>
        <item x="363"/>
        <item x="317"/>
        <item x="122"/>
        <item x="430"/>
        <item x="350"/>
        <item x="451"/>
        <item x="168"/>
        <item x="408"/>
        <item x="314"/>
        <item x="440"/>
        <item x="502"/>
        <item x="216"/>
        <item x="480"/>
        <item x="13"/>
        <item x="274"/>
        <item x="301"/>
        <item x="344"/>
        <item x="71"/>
        <item x="321"/>
        <item x="33"/>
        <item x="211"/>
        <item x="418"/>
        <item x="182"/>
        <item x="218"/>
        <item x="486"/>
        <item x="328"/>
        <item x="479"/>
        <item x="292"/>
        <item x="106"/>
        <item x="134"/>
        <item x="427"/>
        <item x="198"/>
        <item x="236"/>
        <item x="5"/>
        <item x="266"/>
        <item x="250"/>
        <item x="403"/>
        <item x="396"/>
        <item x="31"/>
        <item x="156"/>
        <item x="194"/>
        <item x="405"/>
        <item x="11"/>
        <item x="212"/>
        <item x="255"/>
        <item x="189"/>
        <item x="169"/>
        <item x="348"/>
        <item x="87"/>
        <item x="452"/>
        <item x="298"/>
        <item x="230"/>
        <item x="399"/>
        <item x="458"/>
        <item x="422"/>
        <item x="455"/>
        <item x="244"/>
        <item x="228"/>
        <item x="504"/>
        <item x="36"/>
        <item x="275"/>
        <item x="55"/>
        <item x="139"/>
        <item x="79"/>
        <item x="117"/>
        <item x="220"/>
        <item x="185"/>
        <item x="225"/>
        <item x="259"/>
        <item x="490"/>
        <item x="147"/>
        <item x="367"/>
        <item x="252"/>
        <item x="129"/>
        <item x="10"/>
        <item x="19"/>
        <item x="400"/>
        <item x="276"/>
        <item x="51"/>
        <item x="18"/>
        <item x="425"/>
        <item x="72"/>
        <item x="155"/>
        <item x="501"/>
        <item x="288"/>
        <item x="341"/>
        <item x="27"/>
        <item x="28"/>
        <item x="201"/>
        <item t="default"/>
      </items>
    </pivotField>
    <pivotField compact="0" numFmtId="14" outline="0" showAll="0">
      <items count="394">
        <item x="309"/>
        <item x="192"/>
        <item x="43"/>
        <item x="145"/>
        <item x="251"/>
        <item x="291"/>
        <item x="144"/>
        <item x="185"/>
        <item x="274"/>
        <item x="107"/>
        <item x="118"/>
        <item x="18"/>
        <item x="377"/>
        <item x="311"/>
        <item x="149"/>
        <item x="356"/>
        <item x="13"/>
        <item x="337"/>
        <item x="77"/>
        <item x="241"/>
        <item x="95"/>
        <item x="316"/>
        <item x="101"/>
        <item x="339"/>
        <item x="360"/>
        <item x="49"/>
        <item x="189"/>
        <item x="59"/>
        <item x="52"/>
        <item x="94"/>
        <item x="304"/>
        <item x="227"/>
        <item x="387"/>
        <item x="82"/>
        <item x="96"/>
        <item x="143"/>
        <item x="23"/>
        <item x="74"/>
        <item x="146"/>
        <item x="203"/>
        <item x="279"/>
        <item x="8"/>
        <item x="138"/>
        <item x="88"/>
        <item x="254"/>
        <item x="179"/>
        <item x="271"/>
        <item x="321"/>
        <item x="112"/>
        <item x="249"/>
        <item x="202"/>
        <item x="210"/>
        <item x="72"/>
        <item x="190"/>
        <item x="273"/>
        <item x="102"/>
        <item x="300"/>
        <item x="359"/>
        <item x="7"/>
        <item x="287"/>
        <item x="238"/>
        <item x="160"/>
        <item x="174"/>
        <item x="27"/>
        <item x="373"/>
        <item x="363"/>
        <item x="276"/>
        <item x="69"/>
        <item x="261"/>
        <item x="351"/>
        <item x="168"/>
        <item x="277"/>
        <item x="16"/>
        <item x="322"/>
        <item x="386"/>
        <item x="135"/>
        <item x="129"/>
        <item x="153"/>
        <item x="126"/>
        <item x="104"/>
        <item x="250"/>
        <item x="171"/>
        <item x="264"/>
        <item x="67"/>
        <item x="263"/>
        <item x="38"/>
        <item x="343"/>
        <item x="147"/>
        <item x="216"/>
        <item x="209"/>
        <item x="384"/>
        <item x="201"/>
        <item x="193"/>
        <item x="116"/>
        <item x="109"/>
        <item x="318"/>
        <item x="113"/>
        <item x="3"/>
        <item x="26"/>
        <item x="5"/>
        <item x="148"/>
        <item x="280"/>
        <item x="217"/>
        <item x="306"/>
        <item x="11"/>
        <item x="392"/>
        <item x="90"/>
        <item x="68"/>
        <item x="133"/>
        <item x="127"/>
        <item x="368"/>
        <item x="229"/>
        <item x="155"/>
        <item x="51"/>
        <item x="163"/>
        <item x="87"/>
        <item x="315"/>
        <item x="80"/>
        <item x="223"/>
        <item x="25"/>
        <item x="56"/>
        <item x="375"/>
        <item x="39"/>
        <item x="362"/>
        <item x="42"/>
        <item x="200"/>
        <item x="12"/>
        <item x="346"/>
        <item x="255"/>
        <item x="297"/>
        <item x="295"/>
        <item x="9"/>
        <item x="169"/>
        <item x="181"/>
        <item x="62"/>
        <item x="338"/>
        <item x="247"/>
        <item x="130"/>
        <item x="37"/>
        <item x="342"/>
        <item x="371"/>
        <item x="2"/>
        <item x="84"/>
        <item x="257"/>
        <item x="114"/>
        <item x="125"/>
        <item x="204"/>
        <item x="176"/>
        <item x="208"/>
        <item x="47"/>
        <item x="172"/>
        <item x="256"/>
        <item x="141"/>
        <item x="29"/>
        <item x="327"/>
        <item x="272"/>
        <item x="333"/>
        <item x="252"/>
        <item x="86"/>
        <item x="258"/>
        <item x="328"/>
        <item x="219"/>
        <item x="178"/>
        <item x="332"/>
        <item x="361"/>
        <item x="103"/>
        <item x="369"/>
        <item x="184"/>
        <item x="324"/>
        <item x="239"/>
        <item x="76"/>
        <item x="294"/>
        <item x="347"/>
        <item x="22"/>
        <item x="282"/>
        <item x="312"/>
        <item x="108"/>
        <item x="75"/>
        <item x="157"/>
        <item x="381"/>
        <item x="236"/>
        <item x="32"/>
        <item x="165"/>
        <item x="243"/>
        <item x="308"/>
        <item x="225"/>
        <item x="152"/>
        <item x="64"/>
        <item x="63"/>
        <item x="110"/>
        <item x="358"/>
        <item x="30"/>
        <item x="240"/>
        <item x="237"/>
        <item x="187"/>
        <item x="33"/>
        <item x="167"/>
        <item x="293"/>
        <item x="93"/>
        <item x="6"/>
        <item x="161"/>
        <item x="350"/>
        <item x="230"/>
        <item x="58"/>
        <item x="139"/>
        <item x="259"/>
        <item x="385"/>
        <item x="117"/>
        <item x="341"/>
        <item x="10"/>
        <item x="266"/>
        <item x="336"/>
        <item x="19"/>
        <item x="364"/>
        <item x="57"/>
        <item x="28"/>
        <item x="365"/>
        <item x="262"/>
        <item x="121"/>
        <item x="372"/>
        <item x="46"/>
        <item x="83"/>
        <item x="231"/>
        <item x="376"/>
        <item x="70"/>
        <item x="199"/>
        <item x="269"/>
        <item x="35"/>
        <item x="354"/>
        <item x="66"/>
        <item x="14"/>
        <item x="97"/>
        <item x="283"/>
        <item x="78"/>
        <item x="36"/>
        <item x="222"/>
        <item x="242"/>
        <item x="270"/>
        <item x="296"/>
        <item x="137"/>
        <item x="267"/>
        <item x="91"/>
        <item x="317"/>
        <item x="326"/>
        <item x="253"/>
        <item x="380"/>
        <item x="233"/>
        <item x="378"/>
        <item x="314"/>
        <item x="53"/>
        <item x="319"/>
        <item x="245"/>
        <item x="301"/>
        <item x="374"/>
        <item x="1"/>
        <item x="142"/>
        <item x="79"/>
        <item x="220"/>
        <item x="175"/>
        <item x="281"/>
        <item x="92"/>
        <item x="61"/>
        <item x="60"/>
        <item x="132"/>
        <item x="353"/>
        <item x="98"/>
        <item x="232"/>
        <item x="344"/>
        <item x="288"/>
        <item x="119"/>
        <item x="191"/>
        <item x="313"/>
        <item x="173"/>
        <item x="177"/>
        <item x="206"/>
        <item x="214"/>
        <item x="355"/>
        <item x="335"/>
        <item x="383"/>
        <item x="348"/>
        <item x="275"/>
        <item x="330"/>
        <item x="197"/>
        <item x="21"/>
        <item x="54"/>
        <item x="115"/>
        <item x="226"/>
        <item x="320"/>
        <item x="134"/>
        <item x="334"/>
        <item x="198"/>
        <item x="164"/>
        <item x="290"/>
        <item x="340"/>
        <item x="299"/>
        <item x="265"/>
        <item x="158"/>
        <item x="186"/>
        <item x="367"/>
        <item x="34"/>
        <item x="123"/>
        <item x="213"/>
        <item x="120"/>
        <item x="188"/>
        <item x="285"/>
        <item x="180"/>
        <item x="166"/>
        <item x="215"/>
        <item x="289"/>
        <item x="159"/>
        <item x="292"/>
        <item x="260"/>
        <item x="284"/>
        <item x="122"/>
        <item x="50"/>
        <item x="151"/>
        <item x="382"/>
        <item x="211"/>
        <item x="0"/>
        <item x="182"/>
        <item x="20"/>
        <item x="388"/>
        <item x="15"/>
        <item x="194"/>
        <item x="228"/>
        <item x="379"/>
        <item x="128"/>
        <item x="100"/>
        <item x="71"/>
        <item x="73"/>
        <item x="24"/>
        <item x="81"/>
        <item x="140"/>
        <item x="221"/>
        <item x="370"/>
        <item x="17"/>
        <item x="44"/>
        <item x="323"/>
        <item x="65"/>
        <item x="278"/>
        <item x="268"/>
        <item x="89"/>
        <item x="31"/>
        <item x="298"/>
        <item x="85"/>
        <item x="196"/>
        <item x="357"/>
        <item x="205"/>
        <item x="106"/>
        <item x="235"/>
        <item x="40"/>
        <item x="331"/>
        <item x="389"/>
        <item x="136"/>
        <item x="303"/>
        <item x="4"/>
        <item x="391"/>
        <item x="48"/>
        <item x="366"/>
        <item x="307"/>
        <item x="150"/>
        <item x="183"/>
        <item x="55"/>
        <item x="99"/>
        <item x="218"/>
        <item x="124"/>
        <item x="248"/>
        <item x="45"/>
        <item x="170"/>
        <item x="156"/>
        <item x="207"/>
        <item x="286"/>
        <item x="352"/>
        <item x="195"/>
        <item x="162"/>
        <item x="244"/>
        <item x="349"/>
        <item x="105"/>
        <item x="329"/>
        <item x="234"/>
        <item x="345"/>
        <item x="41"/>
        <item x="302"/>
        <item x="224"/>
        <item x="154"/>
        <item x="305"/>
        <item x="212"/>
        <item x="325"/>
        <item x="131"/>
        <item x="390"/>
        <item x="111"/>
        <item x="246"/>
        <item x="310"/>
        <item t="default"/>
      </items>
    </pivotField>
    <pivotField compact="0" outline="0" showAll="0">
      <items count="13">
        <item h="1" x="3"/>
        <item x="0"/>
        <item h="1" x="7"/>
        <item h="1" x="2"/>
        <item h="1" x="4"/>
        <item h="1" x="9"/>
        <item h="1" x="5"/>
        <item h="1" x="8"/>
        <item h="1" x="6"/>
        <item h="1" x="1"/>
        <item h="1" x="10"/>
        <item h="1" x="11"/>
        <item t="default"/>
      </items>
    </pivotField>
    <pivotField axis="axisRow" compact="0" outline="0" showAll="0">
      <items count="4">
        <item x="2"/>
        <item x="1"/>
        <item x="0"/>
        <item t="default"/>
      </items>
    </pivotField>
    <pivotField compact="0" outline="0" showAll="0">
      <items count="5">
        <item x="1"/>
        <item x="2"/>
        <item x="0"/>
        <item x="3"/>
        <item t="default"/>
      </items>
    </pivotField>
    <pivotField compact="0" outline="0" showAll="0">
      <items count="512">
        <item x="385"/>
        <item x="488"/>
        <item x="422"/>
        <item x="491"/>
        <item x="43"/>
        <item x="161"/>
        <item x="217"/>
        <item x="85"/>
        <item x="6"/>
        <item x="364"/>
        <item x="461"/>
        <item x="114"/>
        <item x="68"/>
        <item x="420"/>
        <item x="194"/>
        <item x="378"/>
        <item x="459"/>
        <item x="410"/>
        <item x="81"/>
        <item x="421"/>
        <item x="458"/>
        <item x="56"/>
        <item x="113"/>
        <item x="257"/>
        <item x="343"/>
        <item x="424"/>
        <item x="61"/>
        <item x="163"/>
        <item x="108"/>
        <item x="285"/>
        <item x="66"/>
        <item x="325"/>
        <item x="119"/>
        <item x="294"/>
        <item x="122"/>
        <item x="414"/>
        <item x="322"/>
        <item x="284"/>
        <item x="448"/>
        <item x="110"/>
        <item x="120"/>
        <item x="249"/>
        <item x="406"/>
        <item x="118"/>
        <item x="394"/>
        <item x="274"/>
        <item x="172"/>
        <item x="123"/>
        <item x="246"/>
        <item x="370"/>
        <item x="446"/>
        <item x="179"/>
        <item x="487"/>
        <item x="214"/>
        <item x="264"/>
        <item x="242"/>
        <item x="390"/>
        <item x="318"/>
        <item x="499"/>
        <item x="192"/>
        <item x="204"/>
        <item x="97"/>
        <item x="86"/>
        <item x="427"/>
        <item x="73"/>
        <item x="232"/>
        <item x="144"/>
        <item x="27"/>
        <item x="88"/>
        <item x="150"/>
        <item x="109"/>
        <item x="392"/>
        <item x="297"/>
        <item x="472"/>
        <item x="344"/>
        <item x="444"/>
        <item x="74"/>
        <item x="153"/>
        <item x="234"/>
        <item x="62"/>
        <item x="436"/>
        <item x="169"/>
        <item x="45"/>
        <item x="500"/>
        <item x="14"/>
        <item x="99"/>
        <item x="60"/>
        <item x="140"/>
        <item x="270"/>
        <item x="71"/>
        <item x="338"/>
        <item x="39"/>
        <item x="316"/>
        <item x="307"/>
        <item x="457"/>
        <item x="496"/>
        <item x="298"/>
        <item x="333"/>
        <item x="418"/>
        <item x="460"/>
        <item x="401"/>
        <item x="187"/>
        <item x="445"/>
        <item x="92"/>
        <item x="375"/>
        <item x="247"/>
        <item x="84"/>
        <item x="476"/>
        <item x="41"/>
        <item x="174"/>
        <item x="287"/>
        <item x="283"/>
        <item x="157"/>
        <item x="470"/>
        <item x="300"/>
        <item x="337"/>
        <item x="454"/>
        <item x="291"/>
        <item x="482"/>
        <item x="502"/>
        <item x="127"/>
        <item x="279"/>
        <item x="282"/>
        <item x="435"/>
        <item x="221"/>
        <item x="1"/>
        <item x="384"/>
        <item x="69"/>
        <item x="376"/>
        <item x="158"/>
        <item x="130"/>
        <item x="303"/>
        <item x="296"/>
        <item x="367"/>
        <item x="331"/>
        <item x="90"/>
        <item x="51"/>
        <item x="381"/>
        <item x="117"/>
        <item x="456"/>
        <item x="432"/>
        <item x="12"/>
        <item x="339"/>
        <item x="112"/>
        <item x="116"/>
        <item x="395"/>
        <item x="213"/>
        <item x="452"/>
        <item x="177"/>
        <item x="0"/>
        <item x="405"/>
        <item x="98"/>
        <item x="490"/>
        <item x="474"/>
        <item x="450"/>
        <item x="40"/>
        <item x="259"/>
        <item x="201"/>
        <item x="295"/>
        <item x="485"/>
        <item x="383"/>
        <item x="2"/>
        <item x="139"/>
        <item x="152"/>
        <item x="131"/>
        <item x="332"/>
        <item x="471"/>
        <item x="100"/>
        <item x="250"/>
        <item x="216"/>
        <item x="464"/>
        <item x="208"/>
        <item x="75"/>
        <item x="76"/>
        <item x="434"/>
        <item x="407"/>
        <item x="212"/>
        <item x="143"/>
        <item x="271"/>
        <item x="286"/>
        <item x="53"/>
        <item x="280"/>
        <item x="437"/>
        <item x="238"/>
        <item x="17"/>
        <item x="323"/>
        <item x="11"/>
        <item x="251"/>
        <item x="176"/>
        <item x="350"/>
        <item x="431"/>
        <item x="235"/>
        <item x="304"/>
        <item x="125"/>
        <item x="438"/>
        <item x="415"/>
        <item x="388"/>
        <item x="87"/>
        <item x="129"/>
        <item x="225"/>
        <item x="417"/>
        <item x="33"/>
        <item x="96"/>
        <item x="306"/>
        <item x="334"/>
        <item x="386"/>
        <item x="5"/>
        <item x="31"/>
        <item x="400"/>
        <item x="346"/>
        <item x="34"/>
        <item x="254"/>
        <item x="355"/>
        <item x="269"/>
        <item x="506"/>
        <item x="352"/>
        <item x="266"/>
        <item x="379"/>
        <item x="309"/>
        <item x="397"/>
        <item x="241"/>
        <item x="219"/>
        <item x="26"/>
        <item x="20"/>
        <item x="252"/>
        <item x="70"/>
        <item x="63"/>
        <item x="403"/>
        <item x="261"/>
        <item x="366"/>
        <item x="425"/>
        <item x="30"/>
        <item x="272"/>
        <item x="54"/>
        <item x="348"/>
        <item x="393"/>
        <item x="489"/>
        <item x="222"/>
        <item x="389"/>
        <item x="398"/>
        <item x="243"/>
        <item x="200"/>
        <item x="211"/>
        <item x="465"/>
        <item x="428"/>
        <item x="371"/>
        <item x="299"/>
        <item x="374"/>
        <item x="78"/>
        <item x="335"/>
        <item x="278"/>
        <item x="197"/>
        <item x="19"/>
        <item x="505"/>
        <item x="148"/>
        <item x="439"/>
        <item x="10"/>
        <item x="377"/>
        <item x="175"/>
        <item x="180"/>
        <item x="351"/>
        <item x="146"/>
        <item x="310"/>
        <item x="111"/>
        <item x="466"/>
        <item x="289"/>
        <item x="124"/>
        <item x="359"/>
        <item x="115"/>
        <item x="255"/>
        <item x="363"/>
        <item x="240"/>
        <item x="236"/>
        <item x="305"/>
        <item x="15"/>
        <item x="382"/>
        <item x="481"/>
        <item x="276"/>
        <item x="173"/>
        <item x="372"/>
        <item x="277"/>
        <item x="358"/>
        <item x="29"/>
        <item x="147"/>
        <item x="18"/>
        <item x="237"/>
        <item x="336"/>
        <item x="89"/>
        <item x="224"/>
        <item x="72"/>
        <item x="290"/>
        <item x="455"/>
        <item x="292"/>
        <item x="137"/>
        <item x="507"/>
        <item x="357"/>
        <item x="32"/>
        <item x="365"/>
        <item x="473"/>
        <item x="462"/>
        <item x="329"/>
        <item x="340"/>
        <item x="368"/>
        <item x="156"/>
        <item x="423"/>
        <item x="3"/>
        <item x="281"/>
        <item x="151"/>
        <item x="314"/>
        <item x="42"/>
        <item x="58"/>
        <item x="256"/>
        <item x="168"/>
        <item x="228"/>
        <item x="13"/>
        <item x="191"/>
        <item x="184"/>
        <item x="215"/>
        <item x="308"/>
        <item x="206"/>
        <item x="83"/>
        <item x="136"/>
        <item x="185"/>
        <item x="268"/>
        <item x="320"/>
        <item x="166"/>
        <item x="223"/>
        <item x="121"/>
        <item x="492"/>
        <item x="80"/>
        <item x="503"/>
        <item x="193"/>
        <item x="23"/>
        <item x="38"/>
        <item x="373"/>
        <item x="416"/>
        <item x="65"/>
        <item x="209"/>
        <item x="293"/>
        <item x="16"/>
        <item x="313"/>
        <item x="380"/>
        <item x="106"/>
        <item x="178"/>
        <item x="493"/>
        <item x="218"/>
        <item x="154"/>
        <item x="319"/>
        <item x="233"/>
        <item x="229"/>
        <item x="353"/>
        <item x="196"/>
        <item x="387"/>
        <item x="95"/>
        <item x="453"/>
        <item x="128"/>
        <item x="440"/>
        <item x="36"/>
        <item x="226"/>
        <item x="258"/>
        <item x="188"/>
        <item x="311"/>
        <item x="408"/>
        <item x="404"/>
        <item x="135"/>
        <item x="265"/>
        <item x="138"/>
        <item x="253"/>
        <item x="510"/>
        <item x="321"/>
        <item x="429"/>
        <item x="273"/>
        <item x="93"/>
        <item x="67"/>
        <item x="302"/>
        <item x="248"/>
        <item x="508"/>
        <item x="433"/>
        <item x="190"/>
        <item x="134"/>
        <item x="361"/>
        <item x="360"/>
        <item x="159"/>
        <item x="189"/>
        <item x="164"/>
        <item x="22"/>
        <item x="396"/>
        <item x="155"/>
        <item x="441"/>
        <item x="142"/>
        <item x="409"/>
        <item x="44"/>
        <item x="37"/>
        <item x="182"/>
        <item x="48"/>
        <item x="105"/>
        <item x="260"/>
        <item x="227"/>
        <item x="262"/>
        <item x="317"/>
        <item x="171"/>
        <item x="504"/>
        <item x="28"/>
        <item x="443"/>
        <item x="210"/>
        <item x="275"/>
        <item x="145"/>
        <item x="347"/>
        <item x="7"/>
        <item x="402"/>
        <item x="103"/>
        <item x="449"/>
        <item x="239"/>
        <item x="484"/>
        <item x="133"/>
        <item x="411"/>
        <item x="412"/>
        <item x="199"/>
        <item x="467"/>
        <item x="345"/>
        <item x="186"/>
        <item x="245"/>
        <item x="349"/>
        <item x="183"/>
        <item x="202"/>
        <item x="132"/>
        <item x="354"/>
        <item x="468"/>
        <item x="369"/>
        <item x="47"/>
        <item x="165"/>
        <item x="479"/>
        <item x="104"/>
        <item x="463"/>
        <item x="494"/>
        <item x="478"/>
        <item x="324"/>
        <item x="101"/>
        <item x="495"/>
        <item x="451"/>
        <item x="49"/>
        <item x="469"/>
        <item x="82"/>
        <item x="426"/>
        <item x="220"/>
        <item x="4"/>
        <item x="203"/>
        <item x="342"/>
        <item x="442"/>
        <item x="24"/>
        <item x="126"/>
        <item x="55"/>
        <item x="498"/>
        <item x="77"/>
        <item x="207"/>
        <item x="107"/>
        <item x="162"/>
        <item x="102"/>
        <item x="486"/>
        <item x="328"/>
        <item x="497"/>
        <item x="149"/>
        <item x="301"/>
        <item x="198"/>
        <item x="231"/>
        <item x="35"/>
        <item x="160"/>
        <item x="330"/>
        <item x="327"/>
        <item x="413"/>
        <item x="483"/>
        <item x="195"/>
        <item x="46"/>
        <item x="475"/>
        <item x="288"/>
        <item x="167"/>
        <item x="477"/>
        <item x="170"/>
        <item x="341"/>
        <item x="244"/>
        <item x="391"/>
        <item x="21"/>
        <item x="480"/>
        <item x="9"/>
        <item x="25"/>
        <item x="59"/>
        <item x="230"/>
        <item x="312"/>
        <item x="57"/>
        <item x="263"/>
        <item x="447"/>
        <item x="501"/>
        <item x="50"/>
        <item x="94"/>
        <item x="205"/>
        <item x="399"/>
        <item x="91"/>
        <item x="79"/>
        <item x="141"/>
        <item x="430"/>
        <item x="326"/>
        <item x="509"/>
        <item x="362"/>
        <item x="267"/>
        <item x="52"/>
        <item x="419"/>
        <item x="356"/>
        <item x="181"/>
        <item x="315"/>
        <item x="64"/>
        <item x="8"/>
        <item t="default"/>
      </items>
    </pivotField>
  </pivotFields>
  <rowFields count="1">
    <field x="9"/>
  </rowFields>
  <rowItems count="4">
    <i>
      <x/>
    </i>
    <i>
      <x v="1"/>
    </i>
    <i>
      <x v="2"/>
    </i>
    <i t="grand">
      <x/>
    </i>
  </rowItems>
  <colFields count="1">
    <field x="-2"/>
  </colFields>
  <colItems count="2">
    <i>
      <x/>
    </i>
    <i i="1">
      <x v="1"/>
    </i>
  </colItems>
  <dataFields count="2">
    <dataField name="Sum of Total Sale" fld="6" baseField="0" baseItem="0" numFmtId="164"/>
    <dataField name="% of sale by year" fld="6" showDataAs="percentOfTotal" baseField="0" baseItem="0" numFmtId="10"/>
  </dataFields>
  <formats count="2">
    <format dxfId="22">
      <pivotArea outline="0" collapsedLevelsAreSubtotals="1" fieldPosition="0"/>
    </format>
    <format dxfId="23">
      <pivotArea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2021C3-C3A9-4F38-B629-A8B6D7B1FD17}" name="PivotTable5"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2">
    <pivotField dataField="1" showAll="0"/>
    <pivotField showAll="0"/>
    <pivotField showAll="0"/>
    <pivotField showAll="0"/>
    <pivotField showAll="0"/>
    <pivotField showAll="0"/>
    <pivotField showAll="0"/>
    <pivotField numFmtId="14" showAll="0"/>
    <pivotField showAll="0"/>
    <pivotField showAll="0"/>
    <pivotField showAll="0"/>
    <pivotField showAll="0"/>
  </pivotFields>
  <rowItems count="1">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A30F30-A749-4561-806B-B0674ADD5ED6}" name="PivotTable4"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2">
    <pivotField showAll="0"/>
    <pivotField showAll="0"/>
    <pivotField showAll="0"/>
    <pivotField showAll="0"/>
    <pivotField showAll="0"/>
    <pivotField dataField="1" showAll="0"/>
    <pivotField showAll="0"/>
    <pivotField numFmtId="14" showAll="0"/>
    <pivotField showAll="0"/>
    <pivotField showAll="0"/>
    <pivotField showAll="0"/>
    <pivotField showAll="0"/>
  </pivotFields>
  <rowItems count="1">
    <i/>
  </rowItems>
  <colItems count="1">
    <i/>
  </colItems>
  <dataFields count="1">
    <dataField name="Sum of Unit Price" fld="5" baseField="0" baseItem="0" numFmtId="16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DEB5D9-F7CF-4F84-9677-D3C6B261C7EA}" name="PivotTable3"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2">
    <pivotField showAll="0"/>
    <pivotField showAll="0"/>
    <pivotField showAll="0"/>
    <pivotField showAll="0"/>
    <pivotField dataField="1" showAll="0"/>
    <pivotField showAll="0"/>
    <pivotField showAll="0"/>
    <pivotField numFmtId="14" showAll="0"/>
    <pivotField showAll="0"/>
    <pivotField showAll="0"/>
    <pivotField showAll="0"/>
    <pivotField showAll="0"/>
  </pivotFields>
  <rowItems count="1">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DEB516-F704-40C1-8444-4514A8A5EED4}" name="PivotTable2" cacheId="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C5" firstHeaderRow="1" firstDataRow="1" firstDataCol="0"/>
  <pivotFields count="12">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s>
  <rowItems count="1">
    <i/>
  </rowItems>
  <colItems count="1">
    <i/>
  </colItems>
  <dataFields count="1">
    <dataField name="Sum of Total Sale" fld="6" baseField="0" baseItem="0" numFmtId="16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24A917-C273-4BCC-A5A9-E847871055FC}" autoFormatId="16" applyNumberFormats="0" applyBorderFormats="0" applyFontFormats="0" applyPatternFormats="0" applyAlignmentFormats="0" applyWidthHeightFormats="0">
  <queryTableRefresh nextId="32">
    <queryTableFields count="12">
      <queryTableField id="1" name="Customer Name" tableColumnId="1"/>
      <queryTableField id="31" dataBound="0" tableColumnId="31"/>
      <queryTableField id="2" name="State" tableColumnId="2"/>
      <queryTableField id="3" name="Product" tableColumnId="3"/>
      <queryTableField id="4" name="Units Sold" tableColumnId="4"/>
      <queryTableField id="5" name="Unit Price" tableColumnId="5"/>
      <queryTableField id="23" dataBound="0" tableColumnId="23"/>
      <queryTableField id="7" name="Sale Date" tableColumnId="7"/>
      <queryTableField id="25" dataBound="0" tableColumnId="25"/>
      <queryTableField id="26" dataBound="0" tableColumnId="26"/>
      <queryTableField id="8" name="Sales Channel" tableColumnId="8"/>
      <queryTableField id="9" name="Order ID" tableColumnId="9"/>
    </queryTableFields>
    <queryTableDeletedFields count="1">
      <deletedField name="Total Sal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44AACE-F9F0-4876-8BB3-09C168B1B2A2}" sourceName="Year">
  <pivotTables>
    <pivotTable tabId="3" name="PivotTable6"/>
  </pivotTables>
  <data>
    <tabular pivotCacheId="8206014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9A1ACEE-DE3C-4D62-813E-804BB6109085}" sourceName="Month">
  <pivotTables>
    <pivotTable tabId="3" name="PivotTable13"/>
  </pivotTables>
  <data>
    <tabular pivotCacheId="820601407">
      <items count="12">
        <i x="3" s="1"/>
        <i x="0" s="1"/>
        <i x="7" s="1"/>
        <i x="2" s="1"/>
        <i x="4" s="1"/>
        <i x="9" s="1"/>
        <i x="5" s="1"/>
        <i x="8" s="1"/>
        <i x="6" s="1"/>
        <i x="1"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060B79C-666D-460D-BED3-9FD731FCCCF0}" sourceName="Sales Channel">
  <pivotTables>
    <pivotTable tabId="3" name="PivotTable13"/>
  </pivotTables>
  <data>
    <tabular pivotCacheId="82060140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0466C61-45A1-4922-9019-49DE97C4AFBD}" cache="Slicer_Year" caption="Year" showCaption="0" rowHeight="241300"/>
  <slicer name="Month" xr10:uid="{FCB072EC-EC26-46E6-BDE4-930782AE0482}" cache="Slicer_Month" caption="Month" showCaption="0" rowHeight="241300"/>
  <slicer name="Sales Channel" xr10:uid="{F72FBFDF-4157-47E7-94A7-E6A7BDE6E820}" cache="Slicer_Sales_Channel" caption="Sales Channel" showCaption="0"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38C79-4E97-4B41-87BD-A15029BB50C2}" name="Table1" displayName="Table1" ref="A1:I551" totalsRowShown="0">
  <tableColumns count="9">
    <tableColumn id="1" xr3:uid="{89BC4949-8754-45B5-8DE4-9F1267A37BCD}" name="Customer Name"/>
    <tableColumn id="2" xr3:uid="{78E109B3-54C9-44B8-A132-5A8A90AA0507}" name="State"/>
    <tableColumn id="3" xr3:uid="{8F7DFE8F-BC99-4996-9280-D5B5B3B6C917}" name="Product"/>
    <tableColumn id="4" xr3:uid="{2989D2B3-66C5-48FC-AD28-17A3304D55BD}" name="Units Sold"/>
    <tableColumn id="5" xr3:uid="{2CEE0F0E-29F5-48CC-A4F6-D9B63F0835CF}" name="Unit Price"/>
    <tableColumn id="6" xr3:uid="{E43987E7-03AA-48EA-AD6D-100835F8BB0B}" name="Total Sale"/>
    <tableColumn id="7" xr3:uid="{D78E5673-CA9C-4E19-A6E6-738E09D9A558}" name="Sale Date" dataDxfId="48"/>
    <tableColumn id="8" xr3:uid="{5FA6BD1E-E626-41D6-A08A-916573E12B91}" name="Sales Channel"/>
    <tableColumn id="9" xr3:uid="{80415B17-0EA0-44A8-9BE5-623771AA7B6C}" name="Order 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08F445-DEB0-4280-A047-8874872DD2C0}" name="Table13_1" displayName="Table13_1" ref="A1:L551" tableType="queryTable" totalsRowShown="0">
  <autoFilter ref="A1:L551" xr:uid="{4A08F445-DEB0-4280-A047-8874872DD2C0}"/>
  <sortState xmlns:xlrd2="http://schemas.microsoft.com/office/spreadsheetml/2017/richdata2" ref="A2:L551">
    <sortCondition ref="A1:A551"/>
  </sortState>
  <tableColumns count="12">
    <tableColumn id="1" xr3:uid="{34DCA382-CEDB-4630-BC4C-4A5ECD6F85BD}" uniqueName="1" name="Customer Name" queryTableFieldId="1" dataDxfId="47"/>
    <tableColumn id="31" xr3:uid="{E12D31CC-35CC-4FCD-9950-BCD9EC1C73DA}" uniqueName="31" name="Customer_Status" queryTableFieldId="31" dataDxfId="34">
      <calculatedColumnFormula>IF(A2="Unknown","Unidentified","Identified")</calculatedColumnFormula>
    </tableColumn>
    <tableColumn id="2" xr3:uid="{67601378-DB3F-4544-873F-2B4556A0AA46}" uniqueName="2" name="State" queryTableFieldId="2" dataDxfId="46"/>
    <tableColumn id="3" xr3:uid="{B489E264-11D4-44D3-A8E1-0F3B69BE9BAC}" uniqueName="3" name="Product" queryTableFieldId="3" dataDxfId="45"/>
    <tableColumn id="4" xr3:uid="{300336CE-C2FF-4D15-8D4C-C7AE3B45FB33}" uniqueName="4" name="Units Sold" queryTableFieldId="4"/>
    <tableColumn id="5" xr3:uid="{90D5670E-B5CF-4014-8FAD-AD1D32A06DC9}" uniqueName="5" name="Unit Price" queryTableFieldId="5"/>
    <tableColumn id="23" xr3:uid="{1A614AD1-8696-4658-A0FE-F95330E58D77}" uniqueName="23" name="Total Sale" queryTableFieldId="23" dataDxfId="44">
      <calculatedColumnFormula>F2*E2</calculatedColumnFormula>
    </tableColumn>
    <tableColumn id="7" xr3:uid="{6B369177-C9CC-4F0D-9C6F-1BEA2DCB5525}" uniqueName="7" name="Sale Date" queryTableFieldId="7" dataDxfId="43"/>
    <tableColumn id="25" xr3:uid="{427E4625-BE93-467B-8ABE-6D0680978678}" uniqueName="25" name="Month" queryTableFieldId="25" dataDxfId="42">
      <calculatedColumnFormula>TEXT(H2,"MMM")</calculatedColumnFormula>
    </tableColumn>
    <tableColumn id="26" xr3:uid="{23212538-55E1-4219-9D3B-89252A780D16}" uniqueName="26" name="Year" queryTableFieldId="26" dataDxfId="41">
      <calculatedColumnFormula>TEXT(H2,"YYYY")</calculatedColumnFormula>
    </tableColumn>
    <tableColumn id="8" xr3:uid="{5275BA50-DAA3-4C1B-A7CA-CCAE7C8224A3}" uniqueName="8" name="Sales Channel" queryTableFieldId="8" dataDxfId="40"/>
    <tableColumn id="9" xr3:uid="{2FBB5525-0FF4-4FFB-A018-EE7BFA8195B2}" uniqueName="9" name="Order ID" queryTableFieldId="9"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96345-A4A6-4E73-9231-79886E007270}">
  <dimension ref="A1:I551"/>
  <sheetViews>
    <sheetView workbookViewId="0">
      <selection activeCell="J5" sqref="J5"/>
    </sheetView>
  </sheetViews>
  <sheetFormatPr defaultRowHeight="15" x14ac:dyDescent="0.25"/>
  <cols>
    <col min="1" max="1" width="21.140625" bestFit="1" customWidth="1"/>
    <col min="2" max="2" width="10.7109375" bestFit="1" customWidth="1"/>
    <col min="3" max="3" width="13.28515625" bestFit="1" customWidth="1"/>
    <col min="4" max="5" width="10" bestFit="1" customWidth="1"/>
    <col min="6" max="6" width="12" bestFit="1" customWidth="1"/>
    <col min="7" max="7" width="10.7109375" bestFit="1" customWidth="1"/>
    <col min="8" max="8" width="13.42578125" bestFit="1" customWidth="1"/>
    <col min="9" max="9" width="38.42578125" bestFit="1" customWidth="1"/>
  </cols>
  <sheetData>
    <row r="1" spans="1:9" x14ac:dyDescent="0.25">
      <c r="A1" t="s">
        <v>0</v>
      </c>
      <c r="B1" t="s">
        <v>1</v>
      </c>
      <c r="C1" t="s">
        <v>2</v>
      </c>
      <c r="D1" t="s">
        <v>3</v>
      </c>
      <c r="E1" t="s">
        <v>4</v>
      </c>
      <c r="F1" t="s">
        <v>5</v>
      </c>
      <c r="G1" t="s">
        <v>6</v>
      </c>
      <c r="H1" t="s">
        <v>7</v>
      </c>
      <c r="I1" t="s">
        <v>8</v>
      </c>
    </row>
    <row r="2" spans="1:9" x14ac:dyDescent="0.25">
      <c r="B2" t="s">
        <v>9</v>
      </c>
      <c r="C2" t="s">
        <v>10</v>
      </c>
      <c r="G2" s="1">
        <v>45774</v>
      </c>
      <c r="H2" t="s">
        <v>11</v>
      </c>
    </row>
    <row r="3" spans="1:9" x14ac:dyDescent="0.25">
      <c r="A3" t="s">
        <v>12</v>
      </c>
      <c r="B3" t="s">
        <v>13</v>
      </c>
      <c r="C3" t="s">
        <v>14</v>
      </c>
      <c r="E3">
        <v>267992.94</v>
      </c>
      <c r="G3" s="1">
        <v>45366</v>
      </c>
      <c r="H3" t="s">
        <v>15</v>
      </c>
      <c r="I3" t="s">
        <v>16</v>
      </c>
    </row>
    <row r="4" spans="1:9" x14ac:dyDescent="0.25">
      <c r="A4" t="s">
        <v>17</v>
      </c>
      <c r="B4" t="s">
        <v>18</v>
      </c>
      <c r="C4" t="s">
        <v>19</v>
      </c>
      <c r="E4">
        <v>42364.41</v>
      </c>
      <c r="G4" s="1">
        <v>45636</v>
      </c>
      <c r="I4" t="s">
        <v>20</v>
      </c>
    </row>
    <row r="5" spans="1:9" x14ac:dyDescent="0.25">
      <c r="A5" t="s">
        <v>21</v>
      </c>
      <c r="B5" t="s">
        <v>22</v>
      </c>
      <c r="C5" t="s">
        <v>19</v>
      </c>
      <c r="E5">
        <v>279444.94</v>
      </c>
      <c r="G5" s="1">
        <v>45387</v>
      </c>
      <c r="I5" t="s">
        <v>23</v>
      </c>
    </row>
    <row r="6" spans="1:9" x14ac:dyDescent="0.25">
      <c r="A6" t="s">
        <v>24</v>
      </c>
      <c r="B6" t="s">
        <v>22</v>
      </c>
      <c r="C6" t="s">
        <v>25</v>
      </c>
      <c r="E6">
        <v>95899.74</v>
      </c>
      <c r="G6" s="1">
        <v>45669</v>
      </c>
      <c r="I6" t="s">
        <v>26</v>
      </c>
    </row>
    <row r="7" spans="1:9" x14ac:dyDescent="0.25">
      <c r="A7" t="s">
        <v>27</v>
      </c>
      <c r="B7" t="s">
        <v>28</v>
      </c>
      <c r="C7" t="s">
        <v>29</v>
      </c>
      <c r="E7">
        <v>118189.9</v>
      </c>
      <c r="G7" s="1">
        <v>45168</v>
      </c>
      <c r="H7" t="s">
        <v>30</v>
      </c>
      <c r="I7" t="s">
        <v>31</v>
      </c>
    </row>
    <row r="8" spans="1:9" x14ac:dyDescent="0.25">
      <c r="A8" t="s">
        <v>32</v>
      </c>
      <c r="B8" t="s">
        <v>33</v>
      </c>
      <c r="C8" t="s">
        <v>25</v>
      </c>
      <c r="D8">
        <v>36</v>
      </c>
      <c r="E8">
        <v>185141.9</v>
      </c>
      <c r="F8">
        <v>6665108.4000000004</v>
      </c>
      <c r="G8" s="1">
        <v>45545</v>
      </c>
      <c r="H8" t="s">
        <v>15</v>
      </c>
      <c r="I8" t="s">
        <v>34</v>
      </c>
    </row>
    <row r="9" spans="1:9" x14ac:dyDescent="0.25">
      <c r="A9" t="s">
        <v>35</v>
      </c>
      <c r="B9" t="s">
        <v>36</v>
      </c>
      <c r="C9" t="s">
        <v>19</v>
      </c>
      <c r="E9">
        <v>252859.28</v>
      </c>
      <c r="G9" s="1">
        <v>45539</v>
      </c>
      <c r="H9" t="s">
        <v>11</v>
      </c>
      <c r="I9" t="s">
        <v>37</v>
      </c>
    </row>
    <row r="10" spans="1:9" x14ac:dyDescent="0.25">
      <c r="A10" t="s">
        <v>38</v>
      </c>
      <c r="B10" t="s">
        <v>39</v>
      </c>
      <c r="C10" t="s">
        <v>40</v>
      </c>
      <c r="E10">
        <v>178320.53</v>
      </c>
      <c r="G10" s="1">
        <v>45343</v>
      </c>
      <c r="H10" t="s">
        <v>15</v>
      </c>
      <c r="I10" t="s">
        <v>41</v>
      </c>
    </row>
    <row r="11" spans="1:9" x14ac:dyDescent="0.25">
      <c r="A11" t="s">
        <v>42</v>
      </c>
      <c r="B11" t="s">
        <v>43</v>
      </c>
      <c r="C11" t="s">
        <v>25</v>
      </c>
      <c r="E11">
        <v>152440.84</v>
      </c>
      <c r="G11" s="1">
        <v>45810</v>
      </c>
      <c r="H11" t="s">
        <v>30</v>
      </c>
      <c r="I11" t="s">
        <v>44</v>
      </c>
    </row>
    <row r="12" spans="1:9" x14ac:dyDescent="0.25">
      <c r="A12" t="s">
        <v>45</v>
      </c>
      <c r="B12" t="s">
        <v>46</v>
      </c>
      <c r="C12" t="s">
        <v>19</v>
      </c>
      <c r="G12" s="1">
        <v>45350</v>
      </c>
      <c r="H12" t="s">
        <v>30</v>
      </c>
      <c r="I12" t="s">
        <v>47</v>
      </c>
    </row>
    <row r="13" spans="1:9" x14ac:dyDescent="0.25">
      <c r="A13" t="s">
        <v>48</v>
      </c>
      <c r="B13" t="s">
        <v>49</v>
      </c>
      <c r="C13" t="s">
        <v>50</v>
      </c>
      <c r="D13">
        <v>3</v>
      </c>
      <c r="E13">
        <v>153159.37</v>
      </c>
      <c r="F13">
        <v>459478.11</v>
      </c>
      <c r="G13" s="1">
        <v>45779</v>
      </c>
      <c r="H13" t="s">
        <v>51</v>
      </c>
      <c r="I13" t="s">
        <v>52</v>
      </c>
    </row>
    <row r="14" spans="1:9" x14ac:dyDescent="0.25">
      <c r="A14" t="s">
        <v>53</v>
      </c>
      <c r="B14" t="s">
        <v>13</v>
      </c>
      <c r="C14" t="s">
        <v>25</v>
      </c>
      <c r="D14">
        <v>43</v>
      </c>
      <c r="E14">
        <v>147209.07</v>
      </c>
      <c r="F14">
        <v>6329990.0099999998</v>
      </c>
      <c r="G14" s="1">
        <v>45240</v>
      </c>
      <c r="H14" t="s">
        <v>15</v>
      </c>
      <c r="I14" t="s">
        <v>54</v>
      </c>
    </row>
    <row r="15" spans="1:9" x14ac:dyDescent="0.25">
      <c r="B15" t="s">
        <v>39</v>
      </c>
      <c r="C15" t="s">
        <v>29</v>
      </c>
      <c r="E15">
        <v>169095.82</v>
      </c>
      <c r="G15" s="1">
        <v>45670</v>
      </c>
      <c r="I15" t="s">
        <v>55</v>
      </c>
    </row>
    <row r="16" spans="1:9" x14ac:dyDescent="0.25">
      <c r="A16" t="s">
        <v>56</v>
      </c>
      <c r="B16" t="s">
        <v>57</v>
      </c>
      <c r="C16" t="s">
        <v>25</v>
      </c>
      <c r="D16">
        <v>27</v>
      </c>
      <c r="E16">
        <v>142730.32999999999</v>
      </c>
      <c r="F16">
        <v>3853718.91</v>
      </c>
      <c r="G16" s="1">
        <v>45669</v>
      </c>
      <c r="H16" t="s">
        <v>30</v>
      </c>
    </row>
    <row r="17" spans="1:9" x14ac:dyDescent="0.25">
      <c r="A17" t="s">
        <v>58</v>
      </c>
      <c r="B17" t="s">
        <v>22</v>
      </c>
      <c r="C17" t="s">
        <v>59</v>
      </c>
      <c r="E17">
        <v>5482.77</v>
      </c>
      <c r="G17" s="1">
        <v>45838</v>
      </c>
      <c r="H17" t="s">
        <v>30</v>
      </c>
      <c r="I17" t="s">
        <v>60</v>
      </c>
    </row>
    <row r="18" spans="1:9" x14ac:dyDescent="0.25">
      <c r="A18" t="s">
        <v>61</v>
      </c>
      <c r="B18" t="s">
        <v>62</v>
      </c>
      <c r="C18" t="s">
        <v>63</v>
      </c>
      <c r="E18">
        <v>99706.26</v>
      </c>
      <c r="G18" s="1">
        <v>45661</v>
      </c>
      <c r="H18" t="s">
        <v>51</v>
      </c>
      <c r="I18" t="s">
        <v>64</v>
      </c>
    </row>
    <row r="19" spans="1:9" x14ac:dyDescent="0.25">
      <c r="A19" t="s">
        <v>65</v>
      </c>
      <c r="B19" t="s">
        <v>66</v>
      </c>
      <c r="C19" t="s">
        <v>50</v>
      </c>
      <c r="D19">
        <v>28</v>
      </c>
      <c r="E19">
        <v>33326.57</v>
      </c>
      <c r="F19">
        <v>933143.96</v>
      </c>
      <c r="G19" s="1">
        <v>45613</v>
      </c>
      <c r="I19" t="s">
        <v>67</v>
      </c>
    </row>
    <row r="20" spans="1:9" x14ac:dyDescent="0.25">
      <c r="A20" t="s">
        <v>68</v>
      </c>
      <c r="B20" t="s">
        <v>69</v>
      </c>
      <c r="C20" t="s">
        <v>14</v>
      </c>
      <c r="D20">
        <v>43</v>
      </c>
      <c r="E20">
        <v>125253.81</v>
      </c>
      <c r="F20">
        <v>5385913.8300000001</v>
      </c>
      <c r="G20" s="1">
        <v>45253</v>
      </c>
      <c r="H20" t="s">
        <v>30</v>
      </c>
      <c r="I20" t="s">
        <v>70</v>
      </c>
    </row>
    <row r="21" spans="1:9" x14ac:dyDescent="0.25">
      <c r="A21" t="s">
        <v>71</v>
      </c>
      <c r="B21" t="s">
        <v>36</v>
      </c>
      <c r="C21" t="s">
        <v>14</v>
      </c>
      <c r="D21">
        <v>77</v>
      </c>
      <c r="E21">
        <v>92649.51</v>
      </c>
      <c r="F21">
        <v>7134012.2699999996</v>
      </c>
      <c r="G21" s="1">
        <v>45734</v>
      </c>
      <c r="H21" t="s">
        <v>11</v>
      </c>
      <c r="I21" t="s">
        <v>72</v>
      </c>
    </row>
    <row r="22" spans="1:9" x14ac:dyDescent="0.25">
      <c r="A22" t="s">
        <v>73</v>
      </c>
      <c r="B22" t="s">
        <v>57</v>
      </c>
      <c r="C22" t="s">
        <v>29</v>
      </c>
      <c r="D22">
        <v>36</v>
      </c>
      <c r="G22" s="1">
        <v>45398</v>
      </c>
      <c r="I22" t="s">
        <v>74</v>
      </c>
    </row>
    <row r="23" spans="1:9" x14ac:dyDescent="0.25">
      <c r="A23" t="s">
        <v>75</v>
      </c>
      <c r="B23" t="s">
        <v>36</v>
      </c>
      <c r="C23" t="s">
        <v>76</v>
      </c>
      <c r="E23">
        <v>269680.75</v>
      </c>
      <c r="G23" s="1">
        <v>45513</v>
      </c>
      <c r="H23" t="s">
        <v>15</v>
      </c>
      <c r="I23" t="s">
        <v>77</v>
      </c>
    </row>
    <row r="24" spans="1:9" x14ac:dyDescent="0.25">
      <c r="A24" t="s">
        <v>78</v>
      </c>
      <c r="B24" t="s">
        <v>46</v>
      </c>
      <c r="C24" t="s">
        <v>14</v>
      </c>
      <c r="D24">
        <v>33</v>
      </c>
      <c r="E24">
        <v>261693.68</v>
      </c>
      <c r="F24">
        <v>8635891.4399999995</v>
      </c>
      <c r="G24" s="1">
        <v>45292</v>
      </c>
      <c r="H24" t="s">
        <v>51</v>
      </c>
      <c r="I24" t="s">
        <v>79</v>
      </c>
    </row>
    <row r="25" spans="1:9" x14ac:dyDescent="0.25">
      <c r="A25" t="s">
        <v>80</v>
      </c>
      <c r="B25" t="s">
        <v>22</v>
      </c>
      <c r="C25" t="s">
        <v>29</v>
      </c>
      <c r="E25">
        <v>188963.51</v>
      </c>
      <c r="G25" s="1">
        <v>45212</v>
      </c>
      <c r="H25" t="s">
        <v>11</v>
      </c>
      <c r="I25" t="s">
        <v>81</v>
      </c>
    </row>
    <row r="26" spans="1:9" x14ac:dyDescent="0.25">
      <c r="A26" t="s">
        <v>82</v>
      </c>
      <c r="B26" t="s">
        <v>83</v>
      </c>
      <c r="C26" t="s">
        <v>84</v>
      </c>
      <c r="D26">
        <v>4</v>
      </c>
      <c r="E26">
        <v>179274.43</v>
      </c>
      <c r="F26">
        <v>717097.72</v>
      </c>
      <c r="G26" s="1">
        <v>45274</v>
      </c>
      <c r="H26" t="s">
        <v>11</v>
      </c>
      <c r="I26" t="s">
        <v>85</v>
      </c>
    </row>
    <row r="27" spans="1:9" x14ac:dyDescent="0.25">
      <c r="A27" t="s">
        <v>86</v>
      </c>
      <c r="B27" t="s">
        <v>87</v>
      </c>
      <c r="C27" t="s">
        <v>76</v>
      </c>
      <c r="E27">
        <v>80026.37</v>
      </c>
      <c r="G27" s="1">
        <v>45733</v>
      </c>
      <c r="H27" t="s">
        <v>15</v>
      </c>
      <c r="I27" t="s">
        <v>88</v>
      </c>
    </row>
    <row r="28" spans="1:9" x14ac:dyDescent="0.25">
      <c r="B28" t="s">
        <v>18</v>
      </c>
      <c r="C28" t="s">
        <v>76</v>
      </c>
      <c r="E28">
        <v>196849.5</v>
      </c>
      <c r="G28" s="1">
        <v>45225</v>
      </c>
      <c r="H28" t="s">
        <v>51</v>
      </c>
      <c r="I28" t="s">
        <v>89</v>
      </c>
    </row>
    <row r="29" spans="1:9" x14ac:dyDescent="0.25">
      <c r="A29" t="s">
        <v>90</v>
      </c>
      <c r="B29" t="s">
        <v>69</v>
      </c>
      <c r="C29" t="s">
        <v>59</v>
      </c>
      <c r="D29">
        <v>42</v>
      </c>
      <c r="E29">
        <v>291631.03000000003</v>
      </c>
      <c r="F29">
        <v>12248503.26</v>
      </c>
      <c r="G29" s="1">
        <v>45301</v>
      </c>
      <c r="H29" t="s">
        <v>30</v>
      </c>
      <c r="I29" t="s">
        <v>91</v>
      </c>
    </row>
    <row r="30" spans="1:9" x14ac:dyDescent="0.25">
      <c r="A30" t="s">
        <v>92</v>
      </c>
      <c r="B30" t="s">
        <v>93</v>
      </c>
      <c r="C30" t="s">
        <v>19</v>
      </c>
      <c r="E30">
        <v>173753.06</v>
      </c>
      <c r="G30" s="1">
        <v>45731</v>
      </c>
      <c r="H30" t="s">
        <v>51</v>
      </c>
    </row>
    <row r="31" spans="1:9" x14ac:dyDescent="0.25">
      <c r="A31" t="s">
        <v>94</v>
      </c>
      <c r="B31" t="s">
        <v>46</v>
      </c>
      <c r="C31" t="s">
        <v>76</v>
      </c>
      <c r="D31">
        <v>7</v>
      </c>
      <c r="E31">
        <v>68649.2</v>
      </c>
      <c r="F31">
        <v>480544.4</v>
      </c>
      <c r="G31" s="1">
        <v>45501</v>
      </c>
      <c r="H31" t="s">
        <v>30</v>
      </c>
      <c r="I31" t="s">
        <v>95</v>
      </c>
    </row>
    <row r="32" spans="1:9" x14ac:dyDescent="0.25">
      <c r="A32" t="s">
        <v>96</v>
      </c>
      <c r="B32" t="s">
        <v>97</v>
      </c>
      <c r="C32" t="s">
        <v>98</v>
      </c>
      <c r="G32" s="1">
        <v>45138</v>
      </c>
      <c r="H32" t="s">
        <v>15</v>
      </c>
      <c r="I32" t="s">
        <v>99</v>
      </c>
    </row>
    <row r="33" spans="1:9" x14ac:dyDescent="0.25">
      <c r="A33" t="s">
        <v>100</v>
      </c>
      <c r="B33" t="s">
        <v>18</v>
      </c>
      <c r="C33" t="s">
        <v>29</v>
      </c>
      <c r="D33">
        <v>68</v>
      </c>
      <c r="E33">
        <v>15880.87</v>
      </c>
      <c r="F33">
        <v>1079899.1599999999</v>
      </c>
      <c r="G33" s="1">
        <v>45398</v>
      </c>
      <c r="H33" t="s">
        <v>15</v>
      </c>
      <c r="I33" t="s">
        <v>101</v>
      </c>
    </row>
    <row r="34" spans="1:9" x14ac:dyDescent="0.25">
      <c r="A34" t="s">
        <v>102</v>
      </c>
      <c r="B34" t="s">
        <v>28</v>
      </c>
      <c r="C34" t="s">
        <v>103</v>
      </c>
      <c r="D34">
        <v>96</v>
      </c>
      <c r="E34">
        <v>144394.41</v>
      </c>
      <c r="F34">
        <v>13861863.359999999</v>
      </c>
      <c r="G34" s="1">
        <v>45548</v>
      </c>
      <c r="H34" t="s">
        <v>11</v>
      </c>
      <c r="I34" t="s">
        <v>104</v>
      </c>
    </row>
    <row r="35" spans="1:9" x14ac:dyDescent="0.25">
      <c r="A35" t="s">
        <v>105</v>
      </c>
      <c r="B35" t="s">
        <v>57</v>
      </c>
      <c r="C35" t="s">
        <v>76</v>
      </c>
      <c r="E35">
        <v>157507.57999999999</v>
      </c>
      <c r="G35" s="1">
        <v>45562</v>
      </c>
      <c r="H35" t="s">
        <v>11</v>
      </c>
      <c r="I35" t="s">
        <v>106</v>
      </c>
    </row>
    <row r="36" spans="1:9" x14ac:dyDescent="0.25">
      <c r="A36" t="s">
        <v>107</v>
      </c>
      <c r="B36" t="s">
        <v>97</v>
      </c>
      <c r="C36" t="s">
        <v>98</v>
      </c>
      <c r="E36">
        <v>216494.26</v>
      </c>
      <c r="G36" s="1">
        <v>45404</v>
      </c>
      <c r="H36" t="s">
        <v>11</v>
      </c>
      <c r="I36" t="s">
        <v>108</v>
      </c>
    </row>
    <row r="37" spans="1:9" x14ac:dyDescent="0.25">
      <c r="A37" t="s">
        <v>109</v>
      </c>
      <c r="B37" t="s">
        <v>33</v>
      </c>
      <c r="C37" t="s">
        <v>76</v>
      </c>
      <c r="E37">
        <v>232494.54</v>
      </c>
      <c r="G37" s="1">
        <v>45481</v>
      </c>
      <c r="H37" t="s">
        <v>15</v>
      </c>
      <c r="I37" t="s">
        <v>110</v>
      </c>
    </row>
    <row r="38" spans="1:9" x14ac:dyDescent="0.25">
      <c r="A38" t="s">
        <v>111</v>
      </c>
      <c r="B38" t="s">
        <v>112</v>
      </c>
      <c r="C38" t="s">
        <v>19</v>
      </c>
      <c r="E38">
        <v>114367.01</v>
      </c>
      <c r="G38" s="1">
        <v>45742</v>
      </c>
      <c r="H38" t="s">
        <v>30</v>
      </c>
      <c r="I38" t="s">
        <v>113</v>
      </c>
    </row>
    <row r="39" spans="1:9" x14ac:dyDescent="0.25">
      <c r="A39" t="s">
        <v>114</v>
      </c>
      <c r="B39" t="s">
        <v>115</v>
      </c>
      <c r="C39" t="s">
        <v>98</v>
      </c>
      <c r="D39">
        <v>65</v>
      </c>
      <c r="E39">
        <v>246587.56</v>
      </c>
      <c r="F39">
        <v>16028191.4</v>
      </c>
      <c r="G39" s="1">
        <v>45546</v>
      </c>
      <c r="H39" t="s">
        <v>15</v>
      </c>
      <c r="I39" t="s">
        <v>116</v>
      </c>
    </row>
    <row r="40" spans="1:9" x14ac:dyDescent="0.25">
      <c r="A40" t="s">
        <v>117</v>
      </c>
      <c r="B40" t="s">
        <v>33</v>
      </c>
      <c r="C40" t="s">
        <v>59</v>
      </c>
      <c r="D40">
        <v>79</v>
      </c>
      <c r="E40">
        <v>73037.87</v>
      </c>
      <c r="F40">
        <v>5769991.7300000004</v>
      </c>
      <c r="G40" s="1">
        <v>45218</v>
      </c>
      <c r="H40" t="s">
        <v>15</v>
      </c>
      <c r="I40" t="s">
        <v>118</v>
      </c>
    </row>
    <row r="41" spans="1:9" x14ac:dyDescent="0.25">
      <c r="B41" t="s">
        <v>119</v>
      </c>
      <c r="C41" t="s">
        <v>25</v>
      </c>
      <c r="E41">
        <v>171984.8</v>
      </c>
      <c r="G41" s="1">
        <v>45593</v>
      </c>
      <c r="H41" t="s">
        <v>11</v>
      </c>
      <c r="I41" t="s">
        <v>120</v>
      </c>
    </row>
    <row r="42" spans="1:9" x14ac:dyDescent="0.25">
      <c r="A42" t="s">
        <v>121</v>
      </c>
      <c r="B42" t="s">
        <v>119</v>
      </c>
      <c r="C42" t="s">
        <v>103</v>
      </c>
      <c r="G42" s="1">
        <v>45804</v>
      </c>
      <c r="H42" t="s">
        <v>51</v>
      </c>
      <c r="I42" t="s">
        <v>122</v>
      </c>
    </row>
    <row r="43" spans="1:9" x14ac:dyDescent="0.25">
      <c r="A43" t="s">
        <v>123</v>
      </c>
      <c r="B43" t="s">
        <v>66</v>
      </c>
      <c r="C43" t="s">
        <v>76</v>
      </c>
      <c r="E43">
        <v>210306.01</v>
      </c>
      <c r="G43" s="1">
        <v>45184</v>
      </c>
      <c r="H43" t="s">
        <v>11</v>
      </c>
      <c r="I43" t="s">
        <v>124</v>
      </c>
    </row>
    <row r="44" spans="1:9" x14ac:dyDescent="0.25">
      <c r="A44" t="s">
        <v>125</v>
      </c>
      <c r="B44" t="s">
        <v>18</v>
      </c>
      <c r="C44" t="s">
        <v>29</v>
      </c>
      <c r="D44">
        <v>4</v>
      </c>
      <c r="E44">
        <v>57639.91</v>
      </c>
      <c r="F44">
        <v>230559.64</v>
      </c>
      <c r="G44" s="1">
        <v>45169</v>
      </c>
      <c r="H44" t="s">
        <v>51</v>
      </c>
    </row>
    <row r="45" spans="1:9" x14ac:dyDescent="0.25">
      <c r="A45" t="s">
        <v>126</v>
      </c>
      <c r="B45" t="s">
        <v>49</v>
      </c>
      <c r="C45" t="s">
        <v>19</v>
      </c>
      <c r="E45">
        <v>132591.04999999999</v>
      </c>
      <c r="G45" s="1">
        <v>45358</v>
      </c>
      <c r="H45" t="s">
        <v>30</v>
      </c>
      <c r="I45" t="s">
        <v>127</v>
      </c>
    </row>
    <row r="46" spans="1:9" x14ac:dyDescent="0.25">
      <c r="A46" t="s">
        <v>128</v>
      </c>
      <c r="B46" t="s">
        <v>83</v>
      </c>
      <c r="C46" t="s">
        <v>29</v>
      </c>
      <c r="E46">
        <v>125924.7</v>
      </c>
      <c r="G46" s="1">
        <v>45427</v>
      </c>
      <c r="H46" t="s">
        <v>30</v>
      </c>
      <c r="I46" t="s">
        <v>129</v>
      </c>
    </row>
    <row r="47" spans="1:9" x14ac:dyDescent="0.25">
      <c r="A47" t="s">
        <v>130</v>
      </c>
      <c r="B47" t="s">
        <v>131</v>
      </c>
      <c r="C47" t="s">
        <v>25</v>
      </c>
      <c r="E47">
        <v>124181.55</v>
      </c>
      <c r="G47" s="1">
        <v>45674</v>
      </c>
      <c r="I47" t="s">
        <v>132</v>
      </c>
    </row>
    <row r="48" spans="1:9" x14ac:dyDescent="0.25">
      <c r="A48" t="s">
        <v>133</v>
      </c>
      <c r="B48" t="s">
        <v>33</v>
      </c>
      <c r="C48" t="s">
        <v>76</v>
      </c>
      <c r="E48">
        <v>61565.56</v>
      </c>
      <c r="G48" s="1">
        <v>45676</v>
      </c>
      <c r="I48" t="s">
        <v>134</v>
      </c>
    </row>
    <row r="49" spans="1:9" x14ac:dyDescent="0.25">
      <c r="A49" t="s">
        <v>135</v>
      </c>
      <c r="B49" t="s">
        <v>115</v>
      </c>
      <c r="C49" t="s">
        <v>19</v>
      </c>
      <c r="D49">
        <v>10</v>
      </c>
      <c r="E49">
        <v>150794.94</v>
      </c>
      <c r="F49">
        <v>1507949.4</v>
      </c>
      <c r="G49" s="1">
        <v>45489</v>
      </c>
      <c r="I49" t="s">
        <v>136</v>
      </c>
    </row>
    <row r="50" spans="1:9" x14ac:dyDescent="0.25">
      <c r="A50" t="s">
        <v>137</v>
      </c>
      <c r="B50" t="s">
        <v>39</v>
      </c>
      <c r="C50" t="s">
        <v>138</v>
      </c>
      <c r="E50">
        <v>183637.68</v>
      </c>
      <c r="G50" s="1">
        <v>45526</v>
      </c>
      <c r="H50" t="s">
        <v>30</v>
      </c>
      <c r="I50" t="s">
        <v>139</v>
      </c>
    </row>
    <row r="51" spans="1:9" x14ac:dyDescent="0.25">
      <c r="A51" t="s">
        <v>140</v>
      </c>
      <c r="B51" t="s">
        <v>36</v>
      </c>
      <c r="C51" t="s">
        <v>76</v>
      </c>
      <c r="D51">
        <v>19</v>
      </c>
      <c r="E51">
        <v>141745.84</v>
      </c>
      <c r="F51">
        <v>2693170.96</v>
      </c>
      <c r="G51" s="1">
        <v>45437</v>
      </c>
      <c r="H51" t="s">
        <v>11</v>
      </c>
      <c r="I51" t="s">
        <v>141</v>
      </c>
    </row>
    <row r="52" spans="1:9" x14ac:dyDescent="0.25">
      <c r="A52" t="s">
        <v>142</v>
      </c>
      <c r="B52" t="s">
        <v>143</v>
      </c>
      <c r="C52" t="s">
        <v>59</v>
      </c>
      <c r="G52" s="1">
        <v>45715</v>
      </c>
      <c r="H52" t="s">
        <v>11</v>
      </c>
      <c r="I52" t="s">
        <v>144</v>
      </c>
    </row>
    <row r="53" spans="1:9" x14ac:dyDescent="0.25">
      <c r="A53" t="s">
        <v>145</v>
      </c>
      <c r="B53" t="s">
        <v>66</v>
      </c>
      <c r="C53" t="s">
        <v>76</v>
      </c>
      <c r="E53">
        <v>254588.91</v>
      </c>
      <c r="G53" s="1">
        <v>45436</v>
      </c>
      <c r="H53" t="s">
        <v>11</v>
      </c>
      <c r="I53" t="s">
        <v>146</v>
      </c>
    </row>
    <row r="54" spans="1:9" x14ac:dyDescent="0.25">
      <c r="B54" t="s">
        <v>119</v>
      </c>
      <c r="C54" t="s">
        <v>14</v>
      </c>
      <c r="E54">
        <v>218356.93</v>
      </c>
      <c r="G54" s="1">
        <v>45757</v>
      </c>
      <c r="H54" t="s">
        <v>15</v>
      </c>
      <c r="I54" t="s">
        <v>147</v>
      </c>
    </row>
    <row r="55" spans="1:9" x14ac:dyDescent="0.25">
      <c r="A55" t="s">
        <v>148</v>
      </c>
      <c r="B55" t="s">
        <v>87</v>
      </c>
      <c r="C55" t="s">
        <v>19</v>
      </c>
      <c r="E55">
        <v>211879.67999999999</v>
      </c>
      <c r="G55" s="1">
        <v>45564</v>
      </c>
      <c r="I55" t="s">
        <v>149</v>
      </c>
    </row>
    <row r="56" spans="1:9" x14ac:dyDescent="0.25">
      <c r="A56" t="s">
        <v>150</v>
      </c>
      <c r="B56" t="s">
        <v>151</v>
      </c>
      <c r="C56" t="s">
        <v>14</v>
      </c>
      <c r="E56">
        <v>155845.62</v>
      </c>
      <c r="G56" s="1">
        <v>45175</v>
      </c>
      <c r="H56" t="s">
        <v>11</v>
      </c>
      <c r="I56" t="s">
        <v>152</v>
      </c>
    </row>
    <row r="57" spans="1:9" x14ac:dyDescent="0.25">
      <c r="A57" t="s">
        <v>153</v>
      </c>
      <c r="B57" t="s">
        <v>39</v>
      </c>
      <c r="C57" t="s">
        <v>98</v>
      </c>
      <c r="E57">
        <v>168485.59</v>
      </c>
      <c r="G57" s="1">
        <v>45215</v>
      </c>
      <c r="I57" t="s">
        <v>154</v>
      </c>
    </row>
    <row r="58" spans="1:9" x14ac:dyDescent="0.25">
      <c r="A58" t="s">
        <v>155</v>
      </c>
      <c r="B58" t="s">
        <v>49</v>
      </c>
      <c r="C58" t="s">
        <v>103</v>
      </c>
      <c r="E58">
        <v>299437.8</v>
      </c>
      <c r="G58" s="1">
        <v>45364</v>
      </c>
    </row>
    <row r="59" spans="1:9" x14ac:dyDescent="0.25">
      <c r="A59" t="s">
        <v>156</v>
      </c>
      <c r="B59" t="s">
        <v>22</v>
      </c>
      <c r="C59" t="s">
        <v>98</v>
      </c>
      <c r="E59">
        <v>143772.10999999999</v>
      </c>
      <c r="G59" s="1">
        <v>45616</v>
      </c>
      <c r="H59" t="s">
        <v>15</v>
      </c>
      <c r="I59" s="2" t="s">
        <v>157</v>
      </c>
    </row>
    <row r="60" spans="1:9" x14ac:dyDescent="0.25">
      <c r="A60" t="s">
        <v>158</v>
      </c>
      <c r="B60" t="s">
        <v>143</v>
      </c>
      <c r="C60" t="s">
        <v>50</v>
      </c>
      <c r="E60">
        <v>113359.02</v>
      </c>
      <c r="G60" s="1">
        <v>45175</v>
      </c>
      <c r="H60" t="s">
        <v>30</v>
      </c>
      <c r="I60" t="s">
        <v>159</v>
      </c>
    </row>
    <row r="61" spans="1:9" x14ac:dyDescent="0.25">
      <c r="A61" t="s">
        <v>160</v>
      </c>
      <c r="B61" t="s">
        <v>39</v>
      </c>
      <c r="C61" t="s">
        <v>76</v>
      </c>
      <c r="E61">
        <v>287027.3</v>
      </c>
      <c r="G61" s="1">
        <v>45467</v>
      </c>
      <c r="H61" t="s">
        <v>11</v>
      </c>
      <c r="I61" t="s">
        <v>161</v>
      </c>
    </row>
    <row r="62" spans="1:9" x14ac:dyDescent="0.25">
      <c r="A62" t="s">
        <v>162</v>
      </c>
      <c r="B62" t="s">
        <v>22</v>
      </c>
      <c r="C62" t="s">
        <v>14</v>
      </c>
      <c r="G62" s="1">
        <v>45479</v>
      </c>
      <c r="H62" t="s">
        <v>15</v>
      </c>
      <c r="I62" t="s">
        <v>163</v>
      </c>
    </row>
    <row r="63" spans="1:9" x14ac:dyDescent="0.25">
      <c r="A63" t="s">
        <v>164</v>
      </c>
      <c r="B63" t="s">
        <v>33</v>
      </c>
      <c r="C63" t="s">
        <v>19</v>
      </c>
      <c r="D63">
        <v>93</v>
      </c>
      <c r="E63">
        <v>138169.23000000001</v>
      </c>
      <c r="F63">
        <v>12849738.390000001</v>
      </c>
      <c r="G63" s="1">
        <v>45646</v>
      </c>
      <c r="H63" t="s">
        <v>30</v>
      </c>
      <c r="I63" t="s">
        <v>165</v>
      </c>
    </row>
    <row r="64" spans="1:9" x14ac:dyDescent="0.25">
      <c r="A64" t="s">
        <v>166</v>
      </c>
      <c r="B64" t="s">
        <v>115</v>
      </c>
      <c r="C64" t="s">
        <v>14</v>
      </c>
      <c r="E64">
        <v>160171.56</v>
      </c>
      <c r="G64" s="1">
        <v>45519</v>
      </c>
      <c r="H64" t="s">
        <v>30</v>
      </c>
      <c r="I64" t="s">
        <v>167</v>
      </c>
    </row>
    <row r="65" spans="1:9" x14ac:dyDescent="0.25">
      <c r="A65" t="s">
        <v>168</v>
      </c>
      <c r="B65" t="s">
        <v>169</v>
      </c>
      <c r="C65" t="s">
        <v>98</v>
      </c>
      <c r="E65">
        <v>164108.82999999999</v>
      </c>
      <c r="G65" s="1">
        <v>45385</v>
      </c>
      <c r="H65" t="s">
        <v>11</v>
      </c>
      <c r="I65" t="s">
        <v>170</v>
      </c>
    </row>
    <row r="66" spans="1:9" x14ac:dyDescent="0.25">
      <c r="A66" t="s">
        <v>171</v>
      </c>
      <c r="B66" t="s">
        <v>83</v>
      </c>
      <c r="C66" t="s">
        <v>172</v>
      </c>
      <c r="E66">
        <v>202922.64</v>
      </c>
      <c r="G66" s="1">
        <v>45217</v>
      </c>
      <c r="I66" t="s">
        <v>173</v>
      </c>
    </row>
    <row r="67" spans="1:9" x14ac:dyDescent="0.25">
      <c r="B67" t="s">
        <v>119</v>
      </c>
      <c r="C67" t="s">
        <v>76</v>
      </c>
      <c r="E67">
        <v>260362.49</v>
      </c>
      <c r="G67" s="1">
        <v>45799</v>
      </c>
      <c r="H67" t="s">
        <v>51</v>
      </c>
      <c r="I67" t="s">
        <v>174</v>
      </c>
    </row>
    <row r="68" spans="1:9" x14ac:dyDescent="0.25">
      <c r="A68" t="s">
        <v>175</v>
      </c>
      <c r="B68" t="s">
        <v>93</v>
      </c>
      <c r="C68" t="s">
        <v>59</v>
      </c>
      <c r="D68">
        <v>94</v>
      </c>
      <c r="E68">
        <v>204383.39</v>
      </c>
      <c r="F68">
        <v>19212038.66</v>
      </c>
      <c r="G68" s="1">
        <v>45761</v>
      </c>
      <c r="I68" t="s">
        <v>176</v>
      </c>
    </row>
    <row r="69" spans="1:9" x14ac:dyDescent="0.25">
      <c r="A69" t="s">
        <v>177</v>
      </c>
      <c r="B69" t="s">
        <v>119</v>
      </c>
      <c r="C69" t="s">
        <v>29</v>
      </c>
      <c r="E69">
        <v>241193.93</v>
      </c>
      <c r="G69" s="1">
        <v>45724</v>
      </c>
      <c r="I69" t="s">
        <v>178</v>
      </c>
    </row>
    <row r="70" spans="1:9" x14ac:dyDescent="0.25">
      <c r="A70" t="s">
        <v>179</v>
      </c>
      <c r="B70" t="s">
        <v>119</v>
      </c>
      <c r="C70" t="s">
        <v>19</v>
      </c>
      <c r="E70">
        <v>79676.47</v>
      </c>
      <c r="G70" s="1">
        <v>45546</v>
      </c>
      <c r="H70" t="s">
        <v>51</v>
      </c>
      <c r="I70" t="s">
        <v>180</v>
      </c>
    </row>
    <row r="71" spans="1:9" x14ac:dyDescent="0.25">
      <c r="A71" t="s">
        <v>181</v>
      </c>
      <c r="B71" t="s">
        <v>57</v>
      </c>
      <c r="C71" t="s">
        <v>59</v>
      </c>
      <c r="E71">
        <v>145511.94</v>
      </c>
      <c r="G71" s="1">
        <v>45614</v>
      </c>
      <c r="H71" t="s">
        <v>30</v>
      </c>
      <c r="I71" t="s">
        <v>182</v>
      </c>
    </row>
    <row r="72" spans="1:9" x14ac:dyDescent="0.25">
      <c r="A72" t="s">
        <v>183</v>
      </c>
      <c r="B72" t="s">
        <v>18</v>
      </c>
      <c r="C72" t="s">
        <v>59</v>
      </c>
      <c r="G72" s="1">
        <v>45574</v>
      </c>
      <c r="H72" t="s">
        <v>51</v>
      </c>
    </row>
    <row r="73" spans="1:9" x14ac:dyDescent="0.25">
      <c r="A73" t="s">
        <v>184</v>
      </c>
      <c r="B73" t="s">
        <v>39</v>
      </c>
      <c r="C73" t="s">
        <v>76</v>
      </c>
      <c r="D73">
        <v>61</v>
      </c>
      <c r="E73">
        <v>287222.55</v>
      </c>
      <c r="F73">
        <v>17520575.550000001</v>
      </c>
      <c r="G73" s="1">
        <v>45259</v>
      </c>
      <c r="H73" t="s">
        <v>51</v>
      </c>
      <c r="I73" t="s">
        <v>185</v>
      </c>
    </row>
    <row r="74" spans="1:9" x14ac:dyDescent="0.25">
      <c r="A74" t="s">
        <v>186</v>
      </c>
      <c r="B74" t="s">
        <v>187</v>
      </c>
      <c r="C74" t="s">
        <v>172</v>
      </c>
      <c r="D74">
        <v>12</v>
      </c>
      <c r="E74">
        <v>84062.42</v>
      </c>
      <c r="F74">
        <v>1008749.04</v>
      </c>
      <c r="G74" s="1">
        <v>45714</v>
      </c>
      <c r="H74" t="s">
        <v>15</v>
      </c>
      <c r="I74" t="s">
        <v>188</v>
      </c>
    </row>
    <row r="75" spans="1:9" x14ac:dyDescent="0.25">
      <c r="A75" t="s">
        <v>189</v>
      </c>
      <c r="B75" t="s">
        <v>93</v>
      </c>
      <c r="C75" t="s">
        <v>76</v>
      </c>
      <c r="E75">
        <v>89900.5</v>
      </c>
      <c r="G75" s="1">
        <v>45218</v>
      </c>
      <c r="H75" t="s">
        <v>15</v>
      </c>
      <c r="I75" t="s">
        <v>190</v>
      </c>
    </row>
    <row r="76" spans="1:9" x14ac:dyDescent="0.25">
      <c r="A76" t="s">
        <v>191</v>
      </c>
      <c r="B76" t="s">
        <v>36</v>
      </c>
      <c r="C76" t="s">
        <v>25</v>
      </c>
      <c r="E76">
        <v>282474.92</v>
      </c>
      <c r="G76" s="1">
        <v>45454</v>
      </c>
      <c r="H76" t="s">
        <v>15</v>
      </c>
      <c r="I76" t="s">
        <v>192</v>
      </c>
    </row>
    <row r="77" spans="1:9" x14ac:dyDescent="0.25">
      <c r="A77" t="s">
        <v>193</v>
      </c>
      <c r="B77" t="s">
        <v>22</v>
      </c>
      <c r="C77" t="s">
        <v>50</v>
      </c>
      <c r="E77">
        <v>294686.96000000002</v>
      </c>
      <c r="G77" s="1">
        <v>45508</v>
      </c>
      <c r="H77" t="s">
        <v>30</v>
      </c>
      <c r="I77" t="s">
        <v>194</v>
      </c>
    </row>
    <row r="78" spans="1:9" x14ac:dyDescent="0.25">
      <c r="A78" t="s">
        <v>195</v>
      </c>
      <c r="B78" t="s">
        <v>93</v>
      </c>
      <c r="C78" t="s">
        <v>19</v>
      </c>
      <c r="E78">
        <v>231466.69</v>
      </c>
      <c r="G78" s="1">
        <v>45825</v>
      </c>
      <c r="H78" t="s">
        <v>51</v>
      </c>
      <c r="I78" t="s">
        <v>196</v>
      </c>
    </row>
    <row r="79" spans="1:9" x14ac:dyDescent="0.25">
      <c r="A79" t="s">
        <v>197</v>
      </c>
      <c r="B79" t="s">
        <v>83</v>
      </c>
      <c r="C79" t="s">
        <v>98</v>
      </c>
      <c r="E79">
        <v>211617.83</v>
      </c>
      <c r="G79" s="1">
        <v>45792</v>
      </c>
      <c r="H79" t="s">
        <v>11</v>
      </c>
      <c r="I79" t="s">
        <v>198</v>
      </c>
    </row>
    <row r="80" spans="1:9" x14ac:dyDescent="0.25">
      <c r="B80" t="s">
        <v>115</v>
      </c>
      <c r="C80" t="s">
        <v>98</v>
      </c>
      <c r="E80">
        <v>207226.85</v>
      </c>
      <c r="G80" s="1">
        <v>45161</v>
      </c>
      <c r="H80" t="s">
        <v>51</v>
      </c>
      <c r="I80" t="s">
        <v>199</v>
      </c>
    </row>
    <row r="81" spans="1:9" x14ac:dyDescent="0.25">
      <c r="A81" t="s">
        <v>200</v>
      </c>
      <c r="B81" t="s">
        <v>18</v>
      </c>
      <c r="C81" t="s">
        <v>59</v>
      </c>
      <c r="E81">
        <v>146956.42000000001</v>
      </c>
      <c r="G81" s="1">
        <v>45763</v>
      </c>
      <c r="H81" t="s">
        <v>30</v>
      </c>
      <c r="I81" t="s">
        <v>201</v>
      </c>
    </row>
    <row r="82" spans="1:9" x14ac:dyDescent="0.25">
      <c r="A82" t="s">
        <v>202</v>
      </c>
      <c r="B82" t="s">
        <v>36</v>
      </c>
      <c r="C82" t="s">
        <v>40</v>
      </c>
      <c r="G82" s="1">
        <v>45214</v>
      </c>
      <c r="H82" t="s">
        <v>15</v>
      </c>
      <c r="I82" t="s">
        <v>203</v>
      </c>
    </row>
    <row r="83" spans="1:9" x14ac:dyDescent="0.25">
      <c r="A83" t="s">
        <v>204</v>
      </c>
      <c r="B83" t="s">
        <v>205</v>
      </c>
      <c r="C83" t="s">
        <v>50</v>
      </c>
      <c r="E83">
        <v>144201.13</v>
      </c>
      <c r="G83" s="1">
        <v>45520</v>
      </c>
      <c r="H83" t="s">
        <v>30</v>
      </c>
      <c r="I83" t="s">
        <v>206</v>
      </c>
    </row>
    <row r="84" spans="1:9" x14ac:dyDescent="0.25">
      <c r="A84" t="s">
        <v>207</v>
      </c>
      <c r="B84" t="s">
        <v>97</v>
      </c>
      <c r="C84" t="s">
        <v>98</v>
      </c>
      <c r="E84">
        <v>168366.03</v>
      </c>
      <c r="G84" s="1">
        <v>45236</v>
      </c>
      <c r="H84" t="s">
        <v>15</v>
      </c>
      <c r="I84" t="s">
        <v>208</v>
      </c>
    </row>
    <row r="85" spans="1:9" x14ac:dyDescent="0.25">
      <c r="A85" t="s">
        <v>209</v>
      </c>
      <c r="B85" t="s">
        <v>49</v>
      </c>
      <c r="C85" t="s">
        <v>98</v>
      </c>
      <c r="D85">
        <v>93</v>
      </c>
      <c r="E85">
        <v>280378.37</v>
      </c>
      <c r="F85">
        <v>26075188.41</v>
      </c>
      <c r="G85" s="1">
        <v>45354</v>
      </c>
      <c r="H85" t="s">
        <v>30</v>
      </c>
      <c r="I85" t="s">
        <v>210</v>
      </c>
    </row>
    <row r="86" spans="1:9" x14ac:dyDescent="0.25">
      <c r="A86" t="s">
        <v>211</v>
      </c>
      <c r="B86" t="s">
        <v>22</v>
      </c>
      <c r="C86" t="s">
        <v>29</v>
      </c>
      <c r="E86">
        <v>216638.48</v>
      </c>
      <c r="G86" s="1">
        <v>45245</v>
      </c>
      <c r="H86" t="s">
        <v>11</v>
      </c>
    </row>
    <row r="87" spans="1:9" x14ac:dyDescent="0.25">
      <c r="A87" t="s">
        <v>212</v>
      </c>
      <c r="B87" t="s">
        <v>49</v>
      </c>
      <c r="C87" t="s">
        <v>29</v>
      </c>
      <c r="E87">
        <v>86692.92</v>
      </c>
      <c r="G87" s="1">
        <v>45243</v>
      </c>
      <c r="H87" t="s">
        <v>15</v>
      </c>
      <c r="I87" t="s">
        <v>213</v>
      </c>
    </row>
    <row r="88" spans="1:9" x14ac:dyDescent="0.25">
      <c r="A88" t="s">
        <v>214</v>
      </c>
      <c r="B88" t="s">
        <v>97</v>
      </c>
      <c r="C88" t="s">
        <v>98</v>
      </c>
      <c r="E88">
        <v>172256.3</v>
      </c>
      <c r="G88" s="1">
        <v>45368</v>
      </c>
      <c r="H88" t="s">
        <v>15</v>
      </c>
      <c r="I88" t="s">
        <v>215</v>
      </c>
    </row>
    <row r="89" spans="1:9" x14ac:dyDescent="0.25">
      <c r="A89" t="s">
        <v>216</v>
      </c>
      <c r="B89" t="s">
        <v>115</v>
      </c>
      <c r="C89" t="s">
        <v>14</v>
      </c>
      <c r="D89">
        <v>65</v>
      </c>
      <c r="E89">
        <v>163185.67000000001</v>
      </c>
      <c r="F89">
        <v>10607068.550000001</v>
      </c>
      <c r="G89" s="1">
        <v>45844</v>
      </c>
      <c r="H89" t="s">
        <v>51</v>
      </c>
      <c r="I89" t="s">
        <v>217</v>
      </c>
    </row>
    <row r="90" spans="1:9" x14ac:dyDescent="0.25">
      <c r="A90" t="s">
        <v>218</v>
      </c>
      <c r="B90" t="s">
        <v>18</v>
      </c>
      <c r="C90" t="s">
        <v>40</v>
      </c>
      <c r="E90">
        <v>268780.26</v>
      </c>
      <c r="G90" s="1">
        <v>45668</v>
      </c>
      <c r="H90" t="s">
        <v>30</v>
      </c>
      <c r="I90" t="s">
        <v>219</v>
      </c>
    </row>
    <row r="91" spans="1:9" x14ac:dyDescent="0.25">
      <c r="A91" t="s">
        <v>220</v>
      </c>
      <c r="B91" t="s">
        <v>39</v>
      </c>
      <c r="C91" t="s">
        <v>14</v>
      </c>
      <c r="D91">
        <v>62</v>
      </c>
      <c r="E91">
        <v>118662.47</v>
      </c>
      <c r="F91">
        <v>7357073.1399999997</v>
      </c>
      <c r="G91" s="1">
        <v>45293</v>
      </c>
      <c r="I91" t="s">
        <v>221</v>
      </c>
    </row>
    <row r="92" spans="1:9" x14ac:dyDescent="0.25">
      <c r="A92" t="s">
        <v>222</v>
      </c>
      <c r="B92" t="s">
        <v>151</v>
      </c>
      <c r="C92" t="s">
        <v>19</v>
      </c>
      <c r="G92" s="1">
        <v>45386</v>
      </c>
      <c r="I92" t="s">
        <v>223</v>
      </c>
    </row>
    <row r="93" spans="1:9" x14ac:dyDescent="0.25">
      <c r="B93" t="s">
        <v>87</v>
      </c>
      <c r="C93" t="s">
        <v>50</v>
      </c>
      <c r="E93">
        <v>103867.84</v>
      </c>
      <c r="G93" s="1">
        <v>45848</v>
      </c>
      <c r="H93" t="s">
        <v>51</v>
      </c>
      <c r="I93" s="2" t="s">
        <v>224</v>
      </c>
    </row>
    <row r="94" spans="1:9" x14ac:dyDescent="0.25">
      <c r="A94" t="s">
        <v>225</v>
      </c>
      <c r="B94" t="s">
        <v>97</v>
      </c>
      <c r="C94" t="s">
        <v>29</v>
      </c>
      <c r="E94">
        <v>232032.77</v>
      </c>
      <c r="G94" s="1">
        <v>45521</v>
      </c>
      <c r="H94" t="s">
        <v>30</v>
      </c>
      <c r="I94" t="s">
        <v>226</v>
      </c>
    </row>
    <row r="95" spans="1:9" x14ac:dyDescent="0.25">
      <c r="A95" t="s">
        <v>227</v>
      </c>
      <c r="B95" t="s">
        <v>57</v>
      </c>
      <c r="C95" t="s">
        <v>19</v>
      </c>
      <c r="D95">
        <v>74</v>
      </c>
      <c r="E95">
        <v>44369.599999999999</v>
      </c>
      <c r="F95">
        <v>3283350.4</v>
      </c>
      <c r="G95" s="1">
        <v>45813</v>
      </c>
      <c r="H95" t="s">
        <v>11</v>
      </c>
      <c r="I95" t="s">
        <v>228</v>
      </c>
    </row>
    <row r="96" spans="1:9" x14ac:dyDescent="0.25">
      <c r="A96" t="s">
        <v>229</v>
      </c>
      <c r="B96" t="s">
        <v>230</v>
      </c>
      <c r="C96" t="s">
        <v>25</v>
      </c>
      <c r="E96">
        <v>13098.91</v>
      </c>
      <c r="G96" s="1">
        <v>45338</v>
      </c>
      <c r="H96" t="s">
        <v>51</v>
      </c>
      <c r="I96" t="s">
        <v>231</v>
      </c>
    </row>
    <row r="97" spans="1:9" x14ac:dyDescent="0.25">
      <c r="A97" t="s">
        <v>232</v>
      </c>
      <c r="B97" t="s">
        <v>115</v>
      </c>
      <c r="C97" t="s">
        <v>59</v>
      </c>
      <c r="E97">
        <v>286616.46000000002</v>
      </c>
      <c r="G97" s="1">
        <v>45775</v>
      </c>
      <c r="H97" t="s">
        <v>15</v>
      </c>
      <c r="I97" t="s">
        <v>233</v>
      </c>
    </row>
    <row r="98" spans="1:9" x14ac:dyDescent="0.25">
      <c r="A98" t="s">
        <v>234</v>
      </c>
      <c r="B98" t="s">
        <v>83</v>
      </c>
      <c r="C98" t="s">
        <v>235</v>
      </c>
      <c r="E98">
        <v>24169.32</v>
      </c>
      <c r="G98" s="1">
        <v>45179</v>
      </c>
      <c r="H98" t="s">
        <v>11</v>
      </c>
      <c r="I98" t="s">
        <v>236</v>
      </c>
    </row>
    <row r="99" spans="1:9" x14ac:dyDescent="0.25">
      <c r="A99" t="s">
        <v>237</v>
      </c>
      <c r="B99" t="s">
        <v>28</v>
      </c>
      <c r="C99" t="s">
        <v>50</v>
      </c>
      <c r="E99">
        <v>277240.88</v>
      </c>
      <c r="G99" s="1">
        <v>45312</v>
      </c>
      <c r="H99" t="s">
        <v>30</v>
      </c>
      <c r="I99" t="s">
        <v>238</v>
      </c>
    </row>
    <row r="100" spans="1:9" x14ac:dyDescent="0.25">
      <c r="A100" t="s">
        <v>239</v>
      </c>
      <c r="B100" t="s">
        <v>18</v>
      </c>
      <c r="C100" t="s">
        <v>14</v>
      </c>
      <c r="E100">
        <v>196963.63</v>
      </c>
      <c r="G100" s="1">
        <v>45270</v>
      </c>
      <c r="H100" t="s">
        <v>15</v>
      </c>
    </row>
    <row r="101" spans="1:9" x14ac:dyDescent="0.25">
      <c r="A101" t="s">
        <v>240</v>
      </c>
      <c r="B101" t="s">
        <v>241</v>
      </c>
      <c r="C101" t="s">
        <v>25</v>
      </c>
      <c r="E101">
        <v>224327.88</v>
      </c>
      <c r="G101" s="1">
        <v>45611</v>
      </c>
      <c r="I101" t="s">
        <v>242</v>
      </c>
    </row>
    <row r="102" spans="1:9" x14ac:dyDescent="0.25">
      <c r="A102" t="s">
        <v>243</v>
      </c>
      <c r="B102" t="s">
        <v>22</v>
      </c>
      <c r="C102" t="s">
        <v>50</v>
      </c>
      <c r="D102">
        <v>35</v>
      </c>
      <c r="G102" s="1">
        <v>45545</v>
      </c>
      <c r="H102" t="s">
        <v>30</v>
      </c>
      <c r="I102" t="s">
        <v>244</v>
      </c>
    </row>
    <row r="103" spans="1:9" x14ac:dyDescent="0.25">
      <c r="A103" t="s">
        <v>245</v>
      </c>
      <c r="B103" t="s">
        <v>36</v>
      </c>
      <c r="C103" t="s">
        <v>98</v>
      </c>
      <c r="E103">
        <v>64589.05</v>
      </c>
      <c r="G103" s="1">
        <v>45331</v>
      </c>
      <c r="H103" t="s">
        <v>15</v>
      </c>
      <c r="I103" t="s">
        <v>246</v>
      </c>
    </row>
    <row r="104" spans="1:9" x14ac:dyDescent="0.25">
      <c r="A104" t="s">
        <v>247</v>
      </c>
      <c r="B104" t="s">
        <v>36</v>
      </c>
      <c r="C104" t="s">
        <v>25</v>
      </c>
      <c r="E104">
        <v>248471.54</v>
      </c>
      <c r="G104" s="1">
        <v>45215</v>
      </c>
      <c r="H104" t="s">
        <v>30</v>
      </c>
      <c r="I104" t="s">
        <v>248</v>
      </c>
    </row>
    <row r="105" spans="1:9" x14ac:dyDescent="0.25">
      <c r="A105" t="s">
        <v>249</v>
      </c>
      <c r="B105" t="s">
        <v>18</v>
      </c>
      <c r="C105" t="s">
        <v>76</v>
      </c>
      <c r="E105">
        <v>81704.25</v>
      </c>
      <c r="G105" s="1">
        <v>45603</v>
      </c>
      <c r="H105" t="s">
        <v>15</v>
      </c>
      <c r="I105" t="s">
        <v>250</v>
      </c>
    </row>
    <row r="106" spans="1:9" x14ac:dyDescent="0.25">
      <c r="B106" t="s">
        <v>87</v>
      </c>
      <c r="C106" t="s">
        <v>103</v>
      </c>
      <c r="D106">
        <v>1</v>
      </c>
      <c r="E106">
        <v>168824.4</v>
      </c>
      <c r="F106">
        <v>168824.4</v>
      </c>
      <c r="G106" s="1">
        <v>45353</v>
      </c>
      <c r="H106" t="s">
        <v>30</v>
      </c>
      <c r="I106" t="s">
        <v>251</v>
      </c>
    </row>
    <row r="107" spans="1:9" x14ac:dyDescent="0.25">
      <c r="A107" t="s">
        <v>252</v>
      </c>
      <c r="B107" t="s">
        <v>46</v>
      </c>
      <c r="C107" t="s">
        <v>29</v>
      </c>
      <c r="E107">
        <v>81850.63</v>
      </c>
      <c r="G107" s="1">
        <v>45595</v>
      </c>
      <c r="I107" t="s">
        <v>253</v>
      </c>
    </row>
    <row r="108" spans="1:9" x14ac:dyDescent="0.25">
      <c r="A108" t="s">
        <v>254</v>
      </c>
      <c r="B108" t="s">
        <v>87</v>
      </c>
      <c r="C108" t="s">
        <v>50</v>
      </c>
      <c r="E108">
        <v>33213.360000000001</v>
      </c>
      <c r="G108" s="1">
        <v>45532</v>
      </c>
      <c r="H108" t="s">
        <v>51</v>
      </c>
      <c r="I108" t="s">
        <v>255</v>
      </c>
    </row>
    <row r="109" spans="1:9" x14ac:dyDescent="0.25">
      <c r="A109" t="s">
        <v>256</v>
      </c>
      <c r="B109" t="s">
        <v>115</v>
      </c>
      <c r="C109" t="s">
        <v>29</v>
      </c>
      <c r="D109">
        <v>9</v>
      </c>
      <c r="E109">
        <v>222396.85</v>
      </c>
      <c r="F109">
        <v>2001571.65</v>
      </c>
      <c r="G109" s="1">
        <v>45190</v>
      </c>
      <c r="H109" t="s">
        <v>15</v>
      </c>
      <c r="I109" t="s">
        <v>257</v>
      </c>
    </row>
    <row r="110" spans="1:9" x14ac:dyDescent="0.25">
      <c r="A110" t="s">
        <v>258</v>
      </c>
      <c r="B110" t="s">
        <v>259</v>
      </c>
      <c r="C110" t="s">
        <v>50</v>
      </c>
      <c r="E110">
        <v>72164.98</v>
      </c>
      <c r="G110" s="1">
        <v>45508</v>
      </c>
      <c r="H110" t="s">
        <v>15</v>
      </c>
      <c r="I110" t="s">
        <v>260</v>
      </c>
    </row>
    <row r="111" spans="1:9" x14ac:dyDescent="0.25">
      <c r="A111" t="s">
        <v>261</v>
      </c>
      <c r="B111" t="s">
        <v>22</v>
      </c>
      <c r="C111" t="s">
        <v>25</v>
      </c>
      <c r="D111">
        <v>4</v>
      </c>
      <c r="E111">
        <v>15704.25</v>
      </c>
      <c r="F111">
        <v>62817</v>
      </c>
      <c r="G111" s="1">
        <v>45615</v>
      </c>
      <c r="I111" t="s">
        <v>262</v>
      </c>
    </row>
    <row r="112" spans="1:9" x14ac:dyDescent="0.25">
      <c r="A112" t="s">
        <v>263</v>
      </c>
      <c r="B112" t="s">
        <v>28</v>
      </c>
      <c r="C112" t="s">
        <v>50</v>
      </c>
      <c r="G112" s="1">
        <v>45248</v>
      </c>
      <c r="H112" t="s">
        <v>51</v>
      </c>
      <c r="I112" t="s">
        <v>264</v>
      </c>
    </row>
    <row r="113" spans="1:9" x14ac:dyDescent="0.25">
      <c r="A113" t="s">
        <v>265</v>
      </c>
      <c r="B113" t="s">
        <v>62</v>
      </c>
      <c r="C113" t="s">
        <v>98</v>
      </c>
      <c r="E113">
        <v>271602.67</v>
      </c>
      <c r="G113" s="1">
        <v>45577</v>
      </c>
      <c r="H113" t="s">
        <v>30</v>
      </c>
      <c r="I113" t="s">
        <v>266</v>
      </c>
    </row>
    <row r="114" spans="1:9" x14ac:dyDescent="0.25">
      <c r="A114" t="s">
        <v>267</v>
      </c>
      <c r="B114" t="s">
        <v>230</v>
      </c>
      <c r="C114" t="s">
        <v>63</v>
      </c>
      <c r="E114">
        <v>68088.66</v>
      </c>
      <c r="G114" s="1">
        <v>45569</v>
      </c>
      <c r="H114" t="s">
        <v>15</v>
      </c>
    </row>
    <row r="115" spans="1:9" x14ac:dyDescent="0.25">
      <c r="A115" t="s">
        <v>268</v>
      </c>
      <c r="B115" t="s">
        <v>39</v>
      </c>
      <c r="C115" t="s">
        <v>76</v>
      </c>
      <c r="D115">
        <v>44</v>
      </c>
      <c r="E115">
        <v>70234.55</v>
      </c>
      <c r="F115">
        <v>3090320.2</v>
      </c>
      <c r="G115" s="1">
        <v>45237</v>
      </c>
      <c r="H115" t="s">
        <v>51</v>
      </c>
      <c r="I115" t="s">
        <v>269</v>
      </c>
    </row>
    <row r="116" spans="1:9" x14ac:dyDescent="0.25">
      <c r="A116" t="s">
        <v>270</v>
      </c>
      <c r="B116" t="s">
        <v>49</v>
      </c>
      <c r="C116" t="s">
        <v>59</v>
      </c>
      <c r="E116">
        <v>30509.29</v>
      </c>
      <c r="G116" s="1">
        <v>45250</v>
      </c>
      <c r="H116" t="s">
        <v>30</v>
      </c>
      <c r="I116" t="s">
        <v>271</v>
      </c>
    </row>
    <row r="117" spans="1:9" x14ac:dyDescent="0.25">
      <c r="A117" t="s">
        <v>272</v>
      </c>
      <c r="B117" t="s">
        <v>33</v>
      </c>
      <c r="C117" t="s">
        <v>50</v>
      </c>
      <c r="E117">
        <v>99422.94</v>
      </c>
      <c r="G117" s="1">
        <v>45629</v>
      </c>
      <c r="H117" t="s">
        <v>15</v>
      </c>
      <c r="I117" t="s">
        <v>273</v>
      </c>
    </row>
    <row r="118" spans="1:9" x14ac:dyDescent="0.25">
      <c r="A118" t="s">
        <v>274</v>
      </c>
      <c r="B118" t="s">
        <v>28</v>
      </c>
      <c r="C118" t="s">
        <v>59</v>
      </c>
      <c r="E118">
        <v>141984.97</v>
      </c>
      <c r="G118" s="1">
        <v>45603</v>
      </c>
      <c r="H118" t="s">
        <v>15</v>
      </c>
      <c r="I118" t="s">
        <v>275</v>
      </c>
    </row>
    <row r="119" spans="1:9" x14ac:dyDescent="0.25">
      <c r="B119" t="s">
        <v>276</v>
      </c>
      <c r="C119" t="s">
        <v>98</v>
      </c>
      <c r="D119">
        <v>77</v>
      </c>
      <c r="E119">
        <v>204517</v>
      </c>
      <c r="F119">
        <v>15747809</v>
      </c>
      <c r="G119" s="1">
        <v>45677</v>
      </c>
      <c r="H119" t="s">
        <v>30</v>
      </c>
      <c r="I119" t="s">
        <v>277</v>
      </c>
    </row>
    <row r="120" spans="1:9" x14ac:dyDescent="0.25">
      <c r="A120" t="s">
        <v>278</v>
      </c>
      <c r="B120" t="s">
        <v>46</v>
      </c>
      <c r="C120" t="s">
        <v>76</v>
      </c>
      <c r="D120">
        <v>7</v>
      </c>
      <c r="E120">
        <v>41671.379999999997</v>
      </c>
      <c r="F120">
        <v>291699.65999999997</v>
      </c>
      <c r="G120" s="1">
        <v>45818</v>
      </c>
      <c r="I120" t="s">
        <v>279</v>
      </c>
    </row>
    <row r="121" spans="1:9" x14ac:dyDescent="0.25">
      <c r="A121" t="s">
        <v>280</v>
      </c>
      <c r="B121" t="s">
        <v>66</v>
      </c>
      <c r="C121" t="s">
        <v>19</v>
      </c>
      <c r="E121">
        <v>289373.37</v>
      </c>
      <c r="G121" s="1">
        <v>45588</v>
      </c>
      <c r="H121" t="s">
        <v>51</v>
      </c>
      <c r="I121" t="s">
        <v>281</v>
      </c>
    </row>
    <row r="122" spans="1:9" x14ac:dyDescent="0.25">
      <c r="A122" t="s">
        <v>282</v>
      </c>
      <c r="B122" t="s">
        <v>39</v>
      </c>
      <c r="C122" t="s">
        <v>84</v>
      </c>
      <c r="G122" s="1">
        <v>45380</v>
      </c>
      <c r="H122" t="s">
        <v>15</v>
      </c>
      <c r="I122" t="s">
        <v>283</v>
      </c>
    </row>
    <row r="123" spans="1:9" x14ac:dyDescent="0.25">
      <c r="A123" t="s">
        <v>284</v>
      </c>
      <c r="B123" t="s">
        <v>115</v>
      </c>
      <c r="C123" t="s">
        <v>76</v>
      </c>
      <c r="E123">
        <v>293384.26</v>
      </c>
      <c r="G123" s="1">
        <v>45772</v>
      </c>
      <c r="H123" t="s">
        <v>30</v>
      </c>
      <c r="I123" t="s">
        <v>285</v>
      </c>
    </row>
    <row r="124" spans="1:9" x14ac:dyDescent="0.25">
      <c r="A124" t="s">
        <v>286</v>
      </c>
      <c r="B124" t="s">
        <v>115</v>
      </c>
      <c r="C124" t="s">
        <v>59</v>
      </c>
      <c r="E124">
        <v>47803.35</v>
      </c>
      <c r="G124" s="1">
        <v>45835</v>
      </c>
      <c r="H124" t="s">
        <v>15</v>
      </c>
      <c r="I124" t="s">
        <v>287</v>
      </c>
    </row>
    <row r="125" spans="1:9" x14ac:dyDescent="0.25">
      <c r="A125" t="s">
        <v>288</v>
      </c>
      <c r="B125" t="s">
        <v>66</v>
      </c>
      <c r="C125" t="s">
        <v>19</v>
      </c>
      <c r="E125">
        <v>196041.39</v>
      </c>
      <c r="G125" s="1">
        <v>45555</v>
      </c>
      <c r="H125" t="s">
        <v>30</v>
      </c>
      <c r="I125" t="s">
        <v>289</v>
      </c>
    </row>
    <row r="126" spans="1:9" x14ac:dyDescent="0.25">
      <c r="A126" t="s">
        <v>290</v>
      </c>
      <c r="B126" t="s">
        <v>83</v>
      </c>
      <c r="C126" t="s">
        <v>14</v>
      </c>
      <c r="E126">
        <v>264253.90999999997</v>
      </c>
      <c r="G126" s="1">
        <v>45149</v>
      </c>
      <c r="H126" t="s">
        <v>15</v>
      </c>
      <c r="I126" t="s">
        <v>291</v>
      </c>
    </row>
    <row r="127" spans="1:9" x14ac:dyDescent="0.25">
      <c r="A127" t="s">
        <v>292</v>
      </c>
      <c r="B127" t="s">
        <v>62</v>
      </c>
      <c r="C127" t="s">
        <v>76</v>
      </c>
      <c r="E127">
        <v>142972.04</v>
      </c>
      <c r="G127" s="1">
        <v>45758</v>
      </c>
      <c r="H127" t="s">
        <v>11</v>
      </c>
      <c r="I127" t="s">
        <v>293</v>
      </c>
    </row>
    <row r="128" spans="1:9" x14ac:dyDescent="0.25">
      <c r="A128" t="s">
        <v>294</v>
      </c>
      <c r="B128" t="s">
        <v>169</v>
      </c>
      <c r="C128" t="s">
        <v>14</v>
      </c>
      <c r="E128">
        <v>195336.34</v>
      </c>
      <c r="G128" s="1">
        <v>45788</v>
      </c>
    </row>
    <row r="129" spans="1:9" x14ac:dyDescent="0.25">
      <c r="A129" t="s">
        <v>295</v>
      </c>
      <c r="B129" t="s">
        <v>36</v>
      </c>
      <c r="C129" t="s">
        <v>25</v>
      </c>
      <c r="E129">
        <v>226895.35999999999</v>
      </c>
      <c r="G129" s="1">
        <v>45140</v>
      </c>
      <c r="H129" t="s">
        <v>51</v>
      </c>
      <c r="I129" t="s">
        <v>296</v>
      </c>
    </row>
    <row r="130" spans="1:9" x14ac:dyDescent="0.25">
      <c r="A130" t="s">
        <v>297</v>
      </c>
      <c r="B130" t="s">
        <v>13</v>
      </c>
      <c r="C130" t="s">
        <v>10</v>
      </c>
      <c r="D130">
        <v>56</v>
      </c>
      <c r="E130">
        <v>86529.89</v>
      </c>
      <c r="F130">
        <v>4845673.84</v>
      </c>
      <c r="G130" s="1">
        <v>45181</v>
      </c>
      <c r="I130" t="s">
        <v>298</v>
      </c>
    </row>
    <row r="131" spans="1:9" x14ac:dyDescent="0.25">
      <c r="A131" t="s">
        <v>299</v>
      </c>
      <c r="B131" t="s">
        <v>33</v>
      </c>
      <c r="C131" t="s">
        <v>19</v>
      </c>
      <c r="E131">
        <v>85981.89</v>
      </c>
      <c r="G131" s="1">
        <v>45153</v>
      </c>
      <c r="I131" t="s">
        <v>300</v>
      </c>
    </row>
    <row r="132" spans="1:9" x14ac:dyDescent="0.25">
      <c r="B132" t="s">
        <v>36</v>
      </c>
      <c r="C132" t="s">
        <v>76</v>
      </c>
      <c r="G132" s="1">
        <v>45616</v>
      </c>
      <c r="H132" t="s">
        <v>51</v>
      </c>
      <c r="I132" t="s">
        <v>301</v>
      </c>
    </row>
    <row r="133" spans="1:9" x14ac:dyDescent="0.25">
      <c r="A133" t="s">
        <v>302</v>
      </c>
      <c r="B133" t="s">
        <v>18</v>
      </c>
      <c r="C133" t="s">
        <v>25</v>
      </c>
      <c r="E133">
        <v>18219.189999999999</v>
      </c>
      <c r="G133" s="1">
        <v>45716</v>
      </c>
      <c r="I133" t="s">
        <v>303</v>
      </c>
    </row>
    <row r="134" spans="1:9" x14ac:dyDescent="0.25">
      <c r="A134" t="s">
        <v>304</v>
      </c>
      <c r="B134" t="s">
        <v>97</v>
      </c>
      <c r="C134" t="s">
        <v>59</v>
      </c>
      <c r="E134">
        <v>230733.14</v>
      </c>
      <c r="G134" s="1">
        <v>45565</v>
      </c>
      <c r="H134" t="s">
        <v>11</v>
      </c>
      <c r="I134" t="s">
        <v>305</v>
      </c>
    </row>
    <row r="135" spans="1:9" x14ac:dyDescent="0.25">
      <c r="A135" t="s">
        <v>306</v>
      </c>
      <c r="B135" t="s">
        <v>33</v>
      </c>
      <c r="C135" t="s">
        <v>29</v>
      </c>
      <c r="D135">
        <v>6</v>
      </c>
      <c r="E135">
        <v>195863.47</v>
      </c>
      <c r="F135">
        <v>1175180.82</v>
      </c>
      <c r="G135" s="1">
        <v>45323</v>
      </c>
      <c r="H135" t="s">
        <v>30</v>
      </c>
      <c r="I135" t="s">
        <v>307</v>
      </c>
    </row>
    <row r="136" spans="1:9" x14ac:dyDescent="0.25">
      <c r="A136" t="s">
        <v>308</v>
      </c>
      <c r="B136" t="s">
        <v>143</v>
      </c>
      <c r="C136" t="s">
        <v>50</v>
      </c>
      <c r="E136">
        <v>70049.95</v>
      </c>
      <c r="G136" s="1">
        <v>45623</v>
      </c>
      <c r="H136" t="s">
        <v>51</v>
      </c>
      <c r="I136" t="s">
        <v>309</v>
      </c>
    </row>
    <row r="137" spans="1:9" x14ac:dyDescent="0.25">
      <c r="A137" t="s">
        <v>310</v>
      </c>
      <c r="B137" t="s">
        <v>311</v>
      </c>
      <c r="C137" t="s">
        <v>25</v>
      </c>
      <c r="D137">
        <v>8</v>
      </c>
      <c r="E137">
        <v>221736.61</v>
      </c>
      <c r="F137">
        <v>1773892.88</v>
      </c>
      <c r="G137" s="1">
        <v>45281</v>
      </c>
      <c r="H137" t="s">
        <v>30</v>
      </c>
      <c r="I137" t="s">
        <v>312</v>
      </c>
    </row>
    <row r="138" spans="1:9" x14ac:dyDescent="0.25">
      <c r="A138" t="s">
        <v>313</v>
      </c>
      <c r="B138" t="s">
        <v>93</v>
      </c>
      <c r="C138" t="s">
        <v>10</v>
      </c>
      <c r="E138">
        <v>255174.76</v>
      </c>
      <c r="G138" s="1">
        <v>45713</v>
      </c>
      <c r="H138" t="s">
        <v>15</v>
      </c>
      <c r="I138" t="s">
        <v>314</v>
      </c>
    </row>
    <row r="139" spans="1:9" x14ac:dyDescent="0.25">
      <c r="A139" t="s">
        <v>315</v>
      </c>
      <c r="B139" t="s">
        <v>83</v>
      </c>
      <c r="C139" t="s">
        <v>29</v>
      </c>
      <c r="D139">
        <v>28</v>
      </c>
      <c r="E139">
        <v>11670.82</v>
      </c>
      <c r="F139">
        <v>326782.96000000002</v>
      </c>
      <c r="G139" s="1">
        <v>45562</v>
      </c>
      <c r="H139" t="s">
        <v>11</v>
      </c>
      <c r="I139" t="s">
        <v>316</v>
      </c>
    </row>
    <row r="140" spans="1:9" x14ac:dyDescent="0.25">
      <c r="A140" t="s">
        <v>317</v>
      </c>
      <c r="B140" t="s">
        <v>13</v>
      </c>
      <c r="C140" t="s">
        <v>19</v>
      </c>
      <c r="E140">
        <v>276480.53000000003</v>
      </c>
      <c r="G140" s="1">
        <v>45441</v>
      </c>
      <c r="H140" t="s">
        <v>30</v>
      </c>
      <c r="I140" t="s">
        <v>318</v>
      </c>
    </row>
    <row r="141" spans="1:9" x14ac:dyDescent="0.25">
      <c r="A141" t="s">
        <v>319</v>
      </c>
      <c r="B141" t="s">
        <v>18</v>
      </c>
      <c r="C141" t="s">
        <v>76</v>
      </c>
      <c r="E141">
        <v>125656.55</v>
      </c>
      <c r="G141" s="1">
        <v>45598</v>
      </c>
      <c r="H141" t="s">
        <v>30</v>
      </c>
      <c r="I141" t="s">
        <v>320</v>
      </c>
    </row>
    <row r="142" spans="1:9" x14ac:dyDescent="0.25">
      <c r="A142" t="s">
        <v>321</v>
      </c>
      <c r="B142" t="s">
        <v>62</v>
      </c>
      <c r="C142" t="s">
        <v>59</v>
      </c>
      <c r="D142">
        <v>16</v>
      </c>
      <c r="G142" s="1">
        <v>45614</v>
      </c>
      <c r="H142" t="s">
        <v>51</v>
      </c>
    </row>
    <row r="143" spans="1:9" x14ac:dyDescent="0.25">
      <c r="A143" t="s">
        <v>322</v>
      </c>
      <c r="B143" t="s">
        <v>93</v>
      </c>
      <c r="C143" t="s">
        <v>98</v>
      </c>
      <c r="E143">
        <v>251362.66</v>
      </c>
      <c r="G143" s="1">
        <v>45141</v>
      </c>
      <c r="H143" t="s">
        <v>15</v>
      </c>
      <c r="I143" t="s">
        <v>323</v>
      </c>
    </row>
    <row r="144" spans="1:9" x14ac:dyDescent="0.25">
      <c r="A144" t="s">
        <v>324</v>
      </c>
      <c r="B144" t="s">
        <v>62</v>
      </c>
      <c r="C144" t="s">
        <v>19</v>
      </c>
      <c r="D144">
        <v>56</v>
      </c>
      <c r="E144">
        <v>280209.82</v>
      </c>
      <c r="F144">
        <v>15691749.92</v>
      </c>
      <c r="G144" s="1">
        <v>45504</v>
      </c>
      <c r="H144" t="s">
        <v>51</v>
      </c>
      <c r="I144" t="s">
        <v>325</v>
      </c>
    </row>
    <row r="145" spans="1:9" x14ac:dyDescent="0.25">
      <c r="B145" t="s">
        <v>33</v>
      </c>
      <c r="C145" t="s">
        <v>59</v>
      </c>
      <c r="E145">
        <v>11383.78</v>
      </c>
      <c r="G145" s="1">
        <v>45808</v>
      </c>
      <c r="H145" t="s">
        <v>15</v>
      </c>
      <c r="I145" t="s">
        <v>326</v>
      </c>
    </row>
    <row r="146" spans="1:9" x14ac:dyDescent="0.25">
      <c r="A146" t="s">
        <v>327</v>
      </c>
      <c r="B146" t="s">
        <v>328</v>
      </c>
      <c r="C146" t="s">
        <v>235</v>
      </c>
      <c r="E146">
        <v>250942.86</v>
      </c>
      <c r="G146" s="1">
        <v>45605</v>
      </c>
      <c r="H146" t="s">
        <v>51</v>
      </c>
      <c r="I146" t="s">
        <v>329</v>
      </c>
    </row>
    <row r="147" spans="1:9" x14ac:dyDescent="0.25">
      <c r="A147" t="s">
        <v>330</v>
      </c>
      <c r="B147" t="s">
        <v>62</v>
      </c>
      <c r="C147" t="s">
        <v>19</v>
      </c>
      <c r="E147">
        <v>236494.21</v>
      </c>
      <c r="G147" s="1">
        <v>45541</v>
      </c>
      <c r="H147" t="s">
        <v>30</v>
      </c>
      <c r="I147" t="s">
        <v>331</v>
      </c>
    </row>
    <row r="148" spans="1:9" x14ac:dyDescent="0.25">
      <c r="A148" t="s">
        <v>332</v>
      </c>
      <c r="B148" t="s">
        <v>66</v>
      </c>
      <c r="C148" t="s">
        <v>29</v>
      </c>
      <c r="E148">
        <v>56300.33</v>
      </c>
      <c r="G148" s="1">
        <v>45342</v>
      </c>
      <c r="H148" t="s">
        <v>30</v>
      </c>
      <c r="I148" t="s">
        <v>333</v>
      </c>
    </row>
    <row r="149" spans="1:9" x14ac:dyDescent="0.25">
      <c r="A149" t="s">
        <v>334</v>
      </c>
      <c r="B149" t="s">
        <v>57</v>
      </c>
      <c r="C149" t="s">
        <v>59</v>
      </c>
      <c r="D149">
        <v>46</v>
      </c>
      <c r="E149">
        <v>224826.46</v>
      </c>
      <c r="F149">
        <v>10342017.16</v>
      </c>
      <c r="G149" s="1">
        <v>45616</v>
      </c>
      <c r="H149" t="s">
        <v>11</v>
      </c>
      <c r="I149" t="s">
        <v>335</v>
      </c>
    </row>
    <row r="150" spans="1:9" x14ac:dyDescent="0.25">
      <c r="A150" t="s">
        <v>336</v>
      </c>
      <c r="B150" t="s">
        <v>28</v>
      </c>
      <c r="C150" t="s">
        <v>25</v>
      </c>
      <c r="E150">
        <v>261751.06</v>
      </c>
      <c r="G150" s="1">
        <v>45352</v>
      </c>
      <c r="H150" t="s">
        <v>30</v>
      </c>
      <c r="I150" t="s">
        <v>337</v>
      </c>
    </row>
    <row r="151" spans="1:9" x14ac:dyDescent="0.25">
      <c r="A151" t="s">
        <v>338</v>
      </c>
      <c r="B151" t="s">
        <v>119</v>
      </c>
      <c r="C151" t="s">
        <v>59</v>
      </c>
      <c r="E151">
        <v>87195.36</v>
      </c>
      <c r="G151" s="1">
        <v>45493</v>
      </c>
      <c r="I151" t="s">
        <v>339</v>
      </c>
    </row>
    <row r="152" spans="1:9" x14ac:dyDescent="0.25">
      <c r="A152" t="s">
        <v>340</v>
      </c>
      <c r="B152" t="s">
        <v>93</v>
      </c>
      <c r="C152" t="s">
        <v>25</v>
      </c>
      <c r="G152" s="1">
        <v>45308</v>
      </c>
      <c r="H152" t="s">
        <v>30</v>
      </c>
      <c r="I152" t="s">
        <v>341</v>
      </c>
    </row>
    <row r="153" spans="1:9" x14ac:dyDescent="0.25">
      <c r="A153" t="s">
        <v>342</v>
      </c>
      <c r="B153" t="s">
        <v>36</v>
      </c>
      <c r="C153" t="s">
        <v>25</v>
      </c>
      <c r="E153">
        <v>11721.12</v>
      </c>
      <c r="G153" s="1">
        <v>45743</v>
      </c>
      <c r="I153" t="s">
        <v>343</v>
      </c>
    </row>
    <row r="154" spans="1:9" x14ac:dyDescent="0.25">
      <c r="A154" t="s">
        <v>344</v>
      </c>
      <c r="B154" t="s">
        <v>62</v>
      </c>
      <c r="C154" t="s">
        <v>138</v>
      </c>
      <c r="E154">
        <v>89868.47</v>
      </c>
      <c r="G154" s="1">
        <v>45745</v>
      </c>
      <c r="H154" t="s">
        <v>30</v>
      </c>
      <c r="I154" t="s">
        <v>345</v>
      </c>
    </row>
    <row r="155" spans="1:9" x14ac:dyDescent="0.25">
      <c r="A155" t="s">
        <v>346</v>
      </c>
      <c r="B155" t="s">
        <v>69</v>
      </c>
      <c r="C155" t="s">
        <v>29</v>
      </c>
      <c r="E155">
        <v>181033.5</v>
      </c>
      <c r="G155" s="1">
        <v>45650</v>
      </c>
      <c r="I155" t="s">
        <v>347</v>
      </c>
    </row>
    <row r="156" spans="1:9" x14ac:dyDescent="0.25">
      <c r="A156" t="s">
        <v>348</v>
      </c>
      <c r="B156" t="s">
        <v>66</v>
      </c>
      <c r="C156" t="s">
        <v>50</v>
      </c>
      <c r="E156">
        <v>278572.23</v>
      </c>
      <c r="G156" s="1">
        <v>45433</v>
      </c>
    </row>
    <row r="157" spans="1:9" x14ac:dyDescent="0.25">
      <c r="A157" t="s">
        <v>349</v>
      </c>
      <c r="B157" t="s">
        <v>97</v>
      </c>
      <c r="C157" t="s">
        <v>29</v>
      </c>
      <c r="E157">
        <v>100845.11</v>
      </c>
      <c r="G157" s="1">
        <v>45349</v>
      </c>
      <c r="H157" t="s">
        <v>30</v>
      </c>
      <c r="I157" t="s">
        <v>350</v>
      </c>
    </row>
    <row r="158" spans="1:9" x14ac:dyDescent="0.25">
      <c r="B158" t="s">
        <v>230</v>
      </c>
      <c r="C158" t="s">
        <v>76</v>
      </c>
      <c r="E158">
        <v>136577.54999999999</v>
      </c>
      <c r="G158" s="1">
        <v>45470</v>
      </c>
      <c r="I158" t="s">
        <v>351</v>
      </c>
    </row>
    <row r="159" spans="1:9" x14ac:dyDescent="0.25">
      <c r="A159" t="s">
        <v>352</v>
      </c>
      <c r="B159" t="s">
        <v>13</v>
      </c>
      <c r="C159" t="s">
        <v>19</v>
      </c>
      <c r="E159">
        <v>192573.07</v>
      </c>
      <c r="G159" s="1">
        <v>45174</v>
      </c>
      <c r="H159" t="s">
        <v>11</v>
      </c>
      <c r="I159" t="s">
        <v>353</v>
      </c>
    </row>
    <row r="160" spans="1:9" x14ac:dyDescent="0.25">
      <c r="A160" t="s">
        <v>354</v>
      </c>
      <c r="B160" t="s">
        <v>33</v>
      </c>
      <c r="C160" t="s">
        <v>29</v>
      </c>
      <c r="E160">
        <v>157533.4</v>
      </c>
      <c r="G160" s="1">
        <v>45652</v>
      </c>
      <c r="H160" t="s">
        <v>15</v>
      </c>
      <c r="I160" t="s">
        <v>355</v>
      </c>
    </row>
    <row r="161" spans="1:9" x14ac:dyDescent="0.25">
      <c r="A161" t="s">
        <v>356</v>
      </c>
      <c r="B161" t="s">
        <v>119</v>
      </c>
      <c r="C161" t="s">
        <v>19</v>
      </c>
      <c r="E161">
        <v>266833.36</v>
      </c>
      <c r="G161" s="1">
        <v>45164</v>
      </c>
      <c r="I161" t="s">
        <v>357</v>
      </c>
    </row>
    <row r="162" spans="1:9" x14ac:dyDescent="0.25">
      <c r="A162" t="s">
        <v>358</v>
      </c>
      <c r="B162" t="s">
        <v>143</v>
      </c>
      <c r="C162" t="s">
        <v>10</v>
      </c>
      <c r="D162">
        <v>47</v>
      </c>
      <c r="G162" s="1">
        <v>45240</v>
      </c>
      <c r="I162" t="s">
        <v>359</v>
      </c>
    </row>
    <row r="163" spans="1:9" x14ac:dyDescent="0.25">
      <c r="A163" t="s">
        <v>360</v>
      </c>
      <c r="B163" t="s">
        <v>22</v>
      </c>
      <c r="C163" t="s">
        <v>19</v>
      </c>
      <c r="D163">
        <v>56</v>
      </c>
      <c r="E163">
        <v>40692.879999999997</v>
      </c>
      <c r="F163">
        <v>2278801.2799999998</v>
      </c>
      <c r="G163" s="1">
        <v>45459</v>
      </c>
      <c r="H163" t="s">
        <v>11</v>
      </c>
      <c r="I163" t="s">
        <v>361</v>
      </c>
    </row>
    <row r="164" spans="1:9" x14ac:dyDescent="0.25">
      <c r="A164" t="s">
        <v>362</v>
      </c>
      <c r="B164" t="s">
        <v>363</v>
      </c>
      <c r="C164" t="s">
        <v>98</v>
      </c>
      <c r="E164">
        <v>151511.70000000001</v>
      </c>
      <c r="G164" s="1">
        <v>45440</v>
      </c>
      <c r="H164" t="s">
        <v>11</v>
      </c>
      <c r="I164" t="s">
        <v>364</v>
      </c>
    </row>
    <row r="165" spans="1:9" x14ac:dyDescent="0.25">
      <c r="A165" t="s">
        <v>365</v>
      </c>
      <c r="B165" t="s">
        <v>22</v>
      </c>
      <c r="C165" t="s">
        <v>50</v>
      </c>
      <c r="E165">
        <v>82214.710000000006</v>
      </c>
      <c r="G165" s="1">
        <v>45494</v>
      </c>
      <c r="H165" t="s">
        <v>51</v>
      </c>
      <c r="I165" t="s">
        <v>366</v>
      </c>
    </row>
    <row r="166" spans="1:9" x14ac:dyDescent="0.25">
      <c r="A166" t="s">
        <v>367</v>
      </c>
      <c r="B166" t="s">
        <v>87</v>
      </c>
      <c r="C166" t="s">
        <v>25</v>
      </c>
      <c r="D166">
        <v>68</v>
      </c>
      <c r="E166">
        <v>242739.76</v>
      </c>
      <c r="F166">
        <v>16506303.68</v>
      </c>
      <c r="G166" s="1">
        <v>45478</v>
      </c>
      <c r="H166" t="s">
        <v>15</v>
      </c>
      <c r="I166" t="s">
        <v>368</v>
      </c>
    </row>
    <row r="167" spans="1:9" x14ac:dyDescent="0.25">
      <c r="A167" t="s">
        <v>369</v>
      </c>
      <c r="B167" t="s">
        <v>39</v>
      </c>
      <c r="C167" t="s">
        <v>29</v>
      </c>
      <c r="E167">
        <v>99539.89</v>
      </c>
      <c r="G167" s="1">
        <v>45276</v>
      </c>
      <c r="H167" t="s">
        <v>51</v>
      </c>
      <c r="I167" t="s">
        <v>370</v>
      </c>
    </row>
    <row r="168" spans="1:9" x14ac:dyDescent="0.25">
      <c r="A168" t="s">
        <v>371</v>
      </c>
      <c r="B168" t="s">
        <v>39</v>
      </c>
      <c r="C168" t="s">
        <v>76</v>
      </c>
      <c r="E168">
        <v>219470.21</v>
      </c>
      <c r="G168" s="1">
        <v>45382</v>
      </c>
      <c r="I168" t="s">
        <v>372</v>
      </c>
    </row>
    <row r="169" spans="1:9" x14ac:dyDescent="0.25">
      <c r="A169" t="s">
        <v>373</v>
      </c>
      <c r="B169" t="s">
        <v>230</v>
      </c>
      <c r="C169" t="s">
        <v>29</v>
      </c>
      <c r="E169">
        <v>194661.46</v>
      </c>
      <c r="G169" s="1">
        <v>45589</v>
      </c>
      <c r="H169" t="s">
        <v>11</v>
      </c>
      <c r="I169" t="s">
        <v>374</v>
      </c>
    </row>
    <row r="170" spans="1:9" x14ac:dyDescent="0.25">
      <c r="A170" t="s">
        <v>375</v>
      </c>
      <c r="B170" t="s">
        <v>39</v>
      </c>
      <c r="C170" t="s">
        <v>172</v>
      </c>
      <c r="D170">
        <v>100</v>
      </c>
      <c r="E170">
        <v>215720.15</v>
      </c>
      <c r="F170">
        <v>21572015</v>
      </c>
      <c r="G170" s="1">
        <v>45229</v>
      </c>
    </row>
    <row r="171" spans="1:9" x14ac:dyDescent="0.25">
      <c r="B171" t="s">
        <v>36</v>
      </c>
      <c r="C171" t="s">
        <v>59</v>
      </c>
      <c r="E171">
        <v>4718.22</v>
      </c>
      <c r="G171" s="1">
        <v>45360</v>
      </c>
      <c r="H171" t="s">
        <v>30</v>
      </c>
      <c r="I171" t="s">
        <v>376</v>
      </c>
    </row>
    <row r="172" spans="1:9" x14ac:dyDescent="0.25">
      <c r="A172" t="s">
        <v>377</v>
      </c>
      <c r="B172" t="s">
        <v>28</v>
      </c>
      <c r="C172" t="s">
        <v>19</v>
      </c>
      <c r="D172">
        <v>82</v>
      </c>
      <c r="G172" s="1">
        <v>45787</v>
      </c>
      <c r="H172" t="s">
        <v>15</v>
      </c>
      <c r="I172" t="s">
        <v>378</v>
      </c>
    </row>
    <row r="173" spans="1:9" x14ac:dyDescent="0.25">
      <c r="A173" t="s">
        <v>379</v>
      </c>
      <c r="B173" t="s">
        <v>241</v>
      </c>
      <c r="C173" t="s">
        <v>59</v>
      </c>
      <c r="E173">
        <v>101465.1</v>
      </c>
      <c r="G173" s="1">
        <v>45675</v>
      </c>
      <c r="H173" t="s">
        <v>30</v>
      </c>
      <c r="I173" t="s">
        <v>380</v>
      </c>
    </row>
    <row r="174" spans="1:9" x14ac:dyDescent="0.25">
      <c r="A174" t="s">
        <v>381</v>
      </c>
      <c r="B174" t="s">
        <v>230</v>
      </c>
      <c r="C174" t="s">
        <v>76</v>
      </c>
      <c r="E174">
        <v>88859.77</v>
      </c>
      <c r="G174" s="1">
        <v>45366</v>
      </c>
      <c r="H174" t="s">
        <v>11</v>
      </c>
      <c r="I174" t="s">
        <v>382</v>
      </c>
    </row>
    <row r="175" spans="1:9" x14ac:dyDescent="0.25">
      <c r="A175" t="s">
        <v>383</v>
      </c>
      <c r="B175" t="s">
        <v>36</v>
      </c>
      <c r="C175" t="s">
        <v>59</v>
      </c>
      <c r="E175">
        <v>202483.14</v>
      </c>
      <c r="G175" s="1">
        <v>45688</v>
      </c>
      <c r="H175" t="s">
        <v>11</v>
      </c>
      <c r="I175" t="s">
        <v>384</v>
      </c>
    </row>
    <row r="176" spans="1:9" x14ac:dyDescent="0.25">
      <c r="A176" t="s">
        <v>385</v>
      </c>
      <c r="B176" t="s">
        <v>93</v>
      </c>
      <c r="C176" t="s">
        <v>59</v>
      </c>
      <c r="D176">
        <v>83</v>
      </c>
      <c r="E176">
        <v>58351.81</v>
      </c>
      <c r="F176">
        <v>4843200.2300000004</v>
      </c>
      <c r="G176" s="1">
        <v>45786</v>
      </c>
      <c r="H176" t="s">
        <v>11</v>
      </c>
      <c r="I176" t="s">
        <v>386</v>
      </c>
    </row>
    <row r="177" spans="1:9" x14ac:dyDescent="0.25">
      <c r="A177" t="s">
        <v>387</v>
      </c>
      <c r="B177" t="s">
        <v>18</v>
      </c>
      <c r="C177" t="s">
        <v>19</v>
      </c>
      <c r="D177">
        <v>31</v>
      </c>
      <c r="E177">
        <v>183480.87</v>
      </c>
      <c r="F177">
        <v>5687906.9699999997</v>
      </c>
      <c r="G177" s="1">
        <v>45386</v>
      </c>
      <c r="H177" t="s">
        <v>15</v>
      </c>
      <c r="I177" t="s">
        <v>388</v>
      </c>
    </row>
    <row r="178" spans="1:9" x14ac:dyDescent="0.25">
      <c r="A178" t="s">
        <v>389</v>
      </c>
      <c r="B178" t="s">
        <v>62</v>
      </c>
      <c r="C178" t="s">
        <v>172</v>
      </c>
      <c r="E178">
        <v>191798.38</v>
      </c>
      <c r="G178" s="1">
        <v>45427</v>
      </c>
      <c r="H178" t="s">
        <v>51</v>
      </c>
      <c r="I178" t="s">
        <v>390</v>
      </c>
    </row>
    <row r="179" spans="1:9" x14ac:dyDescent="0.25">
      <c r="A179" t="s">
        <v>391</v>
      </c>
      <c r="B179" t="s">
        <v>66</v>
      </c>
      <c r="C179" t="s">
        <v>25</v>
      </c>
      <c r="D179">
        <v>26</v>
      </c>
      <c r="E179">
        <v>121944.37</v>
      </c>
      <c r="F179">
        <v>3170553.62</v>
      </c>
      <c r="G179" s="1">
        <v>45219</v>
      </c>
      <c r="I179" t="s">
        <v>392</v>
      </c>
    </row>
    <row r="180" spans="1:9" x14ac:dyDescent="0.25">
      <c r="A180" t="s">
        <v>393</v>
      </c>
      <c r="B180" t="s">
        <v>46</v>
      </c>
      <c r="C180" t="s">
        <v>25</v>
      </c>
      <c r="D180">
        <v>78</v>
      </c>
      <c r="E180">
        <v>128597.12</v>
      </c>
      <c r="F180">
        <v>10030575.359999999</v>
      </c>
      <c r="G180" s="1">
        <v>45708</v>
      </c>
      <c r="I180" t="s">
        <v>394</v>
      </c>
    </row>
    <row r="181" spans="1:9" x14ac:dyDescent="0.25">
      <c r="A181" t="s">
        <v>395</v>
      </c>
      <c r="B181" t="s">
        <v>57</v>
      </c>
      <c r="C181" t="s">
        <v>29</v>
      </c>
      <c r="E181">
        <v>98714.03</v>
      </c>
      <c r="G181" s="1">
        <v>45405</v>
      </c>
      <c r="I181" t="s">
        <v>396</v>
      </c>
    </row>
    <row r="182" spans="1:9" x14ac:dyDescent="0.25">
      <c r="A182" t="s">
        <v>397</v>
      </c>
      <c r="B182" t="s">
        <v>131</v>
      </c>
      <c r="C182" t="s">
        <v>50</v>
      </c>
      <c r="D182">
        <v>10</v>
      </c>
      <c r="G182" s="1">
        <v>45517</v>
      </c>
      <c r="I182" t="s">
        <v>398</v>
      </c>
    </row>
    <row r="183" spans="1:9" x14ac:dyDescent="0.25">
      <c r="A183" t="s">
        <v>399</v>
      </c>
      <c r="B183" t="s">
        <v>57</v>
      </c>
      <c r="C183" t="s">
        <v>29</v>
      </c>
      <c r="E183">
        <v>120549.56</v>
      </c>
      <c r="G183" s="1">
        <v>45554</v>
      </c>
      <c r="I183" t="s">
        <v>400</v>
      </c>
    </row>
    <row r="184" spans="1:9" x14ac:dyDescent="0.25">
      <c r="B184" t="s">
        <v>143</v>
      </c>
      <c r="C184" t="s">
        <v>59</v>
      </c>
      <c r="E184">
        <v>29067.84</v>
      </c>
      <c r="G184" s="1">
        <v>45200</v>
      </c>
      <c r="H184" t="s">
        <v>51</v>
      </c>
    </row>
    <row r="185" spans="1:9" x14ac:dyDescent="0.25">
      <c r="A185" t="s">
        <v>401</v>
      </c>
      <c r="B185" t="s">
        <v>115</v>
      </c>
      <c r="C185" t="s">
        <v>50</v>
      </c>
      <c r="E185">
        <v>294514.71999999997</v>
      </c>
      <c r="G185" s="1">
        <v>45365</v>
      </c>
      <c r="H185" t="s">
        <v>30</v>
      </c>
      <c r="I185" t="s">
        <v>402</v>
      </c>
    </row>
    <row r="186" spans="1:9" x14ac:dyDescent="0.25">
      <c r="A186" t="s">
        <v>403</v>
      </c>
      <c r="B186" t="s">
        <v>119</v>
      </c>
      <c r="C186" t="s">
        <v>235</v>
      </c>
      <c r="E186">
        <v>143497.5</v>
      </c>
      <c r="G186" s="1">
        <v>45305</v>
      </c>
      <c r="H186" t="s">
        <v>15</v>
      </c>
      <c r="I186" t="s">
        <v>404</v>
      </c>
    </row>
    <row r="187" spans="1:9" x14ac:dyDescent="0.25">
      <c r="A187" t="s">
        <v>405</v>
      </c>
      <c r="B187" t="s">
        <v>83</v>
      </c>
      <c r="C187" t="s">
        <v>29</v>
      </c>
      <c r="E187">
        <v>280779.7</v>
      </c>
      <c r="G187" s="1">
        <v>45480</v>
      </c>
      <c r="H187" t="s">
        <v>30</v>
      </c>
      <c r="I187" t="s">
        <v>406</v>
      </c>
    </row>
    <row r="188" spans="1:9" x14ac:dyDescent="0.25">
      <c r="A188" t="s">
        <v>407</v>
      </c>
      <c r="B188" t="s">
        <v>62</v>
      </c>
      <c r="C188" t="s">
        <v>29</v>
      </c>
      <c r="E188">
        <v>2545.62</v>
      </c>
      <c r="G188" s="1">
        <v>45213</v>
      </c>
      <c r="H188" t="s">
        <v>30</v>
      </c>
      <c r="I188" t="s">
        <v>408</v>
      </c>
    </row>
    <row r="189" spans="1:9" x14ac:dyDescent="0.25">
      <c r="A189" t="s">
        <v>409</v>
      </c>
      <c r="B189" t="s">
        <v>83</v>
      </c>
      <c r="C189" t="s">
        <v>19</v>
      </c>
      <c r="E189">
        <v>115380.53</v>
      </c>
      <c r="G189" s="1">
        <v>45325</v>
      </c>
      <c r="I189" t="s">
        <v>410</v>
      </c>
    </row>
    <row r="190" spans="1:9" x14ac:dyDescent="0.25">
      <c r="A190" t="s">
        <v>411</v>
      </c>
      <c r="B190" t="s">
        <v>33</v>
      </c>
      <c r="C190" t="s">
        <v>25</v>
      </c>
      <c r="E190">
        <v>134297.29</v>
      </c>
      <c r="G190" s="1">
        <v>45467</v>
      </c>
      <c r="I190" t="s">
        <v>412</v>
      </c>
    </row>
    <row r="191" spans="1:9" x14ac:dyDescent="0.25">
      <c r="A191" t="s">
        <v>413</v>
      </c>
      <c r="B191" t="s">
        <v>205</v>
      </c>
      <c r="C191" t="s">
        <v>25</v>
      </c>
      <c r="D191">
        <v>41</v>
      </c>
      <c r="E191">
        <v>80464.800000000003</v>
      </c>
      <c r="F191">
        <v>3299056.8</v>
      </c>
      <c r="G191" s="1">
        <v>45310</v>
      </c>
      <c r="H191" t="s">
        <v>51</v>
      </c>
      <c r="I191" t="s">
        <v>414</v>
      </c>
    </row>
    <row r="192" spans="1:9" x14ac:dyDescent="0.25">
      <c r="A192" t="s">
        <v>415</v>
      </c>
      <c r="B192" t="s">
        <v>22</v>
      </c>
      <c r="C192" t="s">
        <v>50</v>
      </c>
      <c r="D192">
        <v>57</v>
      </c>
      <c r="G192" s="1">
        <v>45227</v>
      </c>
      <c r="H192" t="s">
        <v>15</v>
      </c>
      <c r="I192" t="s">
        <v>416</v>
      </c>
    </row>
    <row r="193" spans="1:9" x14ac:dyDescent="0.25">
      <c r="A193" t="s">
        <v>417</v>
      </c>
      <c r="B193" t="s">
        <v>39</v>
      </c>
      <c r="C193" t="s">
        <v>29</v>
      </c>
      <c r="E193">
        <v>99222.78</v>
      </c>
      <c r="G193" s="1">
        <v>45193</v>
      </c>
      <c r="H193" t="s">
        <v>11</v>
      </c>
      <c r="I193" t="s">
        <v>418</v>
      </c>
    </row>
    <row r="194" spans="1:9" x14ac:dyDescent="0.25">
      <c r="A194" t="s">
        <v>419</v>
      </c>
      <c r="B194" t="s">
        <v>97</v>
      </c>
      <c r="C194" t="s">
        <v>172</v>
      </c>
      <c r="E194">
        <v>174947</v>
      </c>
      <c r="G194" s="1">
        <v>45157</v>
      </c>
      <c r="H194" t="s">
        <v>30</v>
      </c>
      <c r="I194" t="s">
        <v>420</v>
      </c>
    </row>
    <row r="195" spans="1:9" x14ac:dyDescent="0.25">
      <c r="A195" t="s">
        <v>421</v>
      </c>
      <c r="B195" t="s">
        <v>13</v>
      </c>
      <c r="C195" t="s">
        <v>29</v>
      </c>
      <c r="E195">
        <v>172076.77</v>
      </c>
      <c r="G195" s="1">
        <v>45343</v>
      </c>
      <c r="H195" t="s">
        <v>11</v>
      </c>
      <c r="I195" t="s">
        <v>422</v>
      </c>
    </row>
    <row r="196" spans="1:9" x14ac:dyDescent="0.25">
      <c r="A196" t="s">
        <v>423</v>
      </c>
      <c r="B196" t="s">
        <v>87</v>
      </c>
      <c r="C196" t="s">
        <v>59</v>
      </c>
      <c r="E196">
        <v>78835.17</v>
      </c>
      <c r="G196" s="1">
        <v>45416</v>
      </c>
      <c r="H196" t="s">
        <v>15</v>
      </c>
      <c r="I196" t="s">
        <v>424</v>
      </c>
    </row>
    <row r="197" spans="1:9" x14ac:dyDescent="0.25">
      <c r="B197" t="s">
        <v>36</v>
      </c>
      <c r="C197" t="s">
        <v>14</v>
      </c>
      <c r="D197">
        <v>65</v>
      </c>
      <c r="E197">
        <v>108185.85</v>
      </c>
      <c r="F197">
        <v>7032080.25</v>
      </c>
      <c r="G197" s="1">
        <v>45789</v>
      </c>
      <c r="H197" t="s">
        <v>30</v>
      </c>
      <c r="I197" t="s">
        <v>425</v>
      </c>
    </row>
    <row r="198" spans="1:9" x14ac:dyDescent="0.25">
      <c r="A198" t="s">
        <v>426</v>
      </c>
      <c r="B198" t="s">
        <v>22</v>
      </c>
      <c r="C198" t="s">
        <v>25</v>
      </c>
      <c r="E198">
        <v>71272.62</v>
      </c>
      <c r="G198" s="1">
        <v>45595</v>
      </c>
      <c r="H198" t="s">
        <v>11</v>
      </c>
    </row>
    <row r="199" spans="1:9" x14ac:dyDescent="0.25">
      <c r="A199" t="s">
        <v>427</v>
      </c>
      <c r="B199" t="s">
        <v>87</v>
      </c>
      <c r="C199" t="s">
        <v>98</v>
      </c>
      <c r="D199">
        <v>58</v>
      </c>
      <c r="E199">
        <v>200501.94</v>
      </c>
      <c r="F199">
        <v>11629112.52</v>
      </c>
      <c r="G199" s="1">
        <v>45442</v>
      </c>
      <c r="H199" t="s">
        <v>11</v>
      </c>
      <c r="I199" t="s">
        <v>428</v>
      </c>
    </row>
    <row r="200" spans="1:9" x14ac:dyDescent="0.25">
      <c r="A200" t="s">
        <v>429</v>
      </c>
      <c r="B200" t="s">
        <v>205</v>
      </c>
      <c r="C200" t="s">
        <v>14</v>
      </c>
      <c r="E200">
        <v>139885.79999999999</v>
      </c>
      <c r="G200" s="1">
        <v>45310</v>
      </c>
      <c r="H200" t="s">
        <v>51</v>
      </c>
      <c r="I200" t="s">
        <v>430</v>
      </c>
    </row>
    <row r="201" spans="1:9" x14ac:dyDescent="0.25">
      <c r="A201" t="s">
        <v>431</v>
      </c>
      <c r="B201" t="s">
        <v>13</v>
      </c>
      <c r="C201" t="s">
        <v>25</v>
      </c>
      <c r="D201">
        <v>37</v>
      </c>
      <c r="E201">
        <v>48335.19</v>
      </c>
      <c r="F201">
        <v>1788402.03</v>
      </c>
      <c r="G201" s="1">
        <v>45790</v>
      </c>
      <c r="H201" t="s">
        <v>15</v>
      </c>
      <c r="I201" t="s">
        <v>432</v>
      </c>
    </row>
    <row r="202" spans="1:9" x14ac:dyDescent="0.25">
      <c r="A202" t="s">
        <v>433</v>
      </c>
      <c r="B202" t="s">
        <v>39</v>
      </c>
      <c r="C202" t="s">
        <v>138</v>
      </c>
      <c r="D202">
        <v>83</v>
      </c>
      <c r="G202" s="1">
        <v>45818</v>
      </c>
      <c r="H202" t="s">
        <v>15</v>
      </c>
      <c r="I202" t="s">
        <v>434</v>
      </c>
    </row>
    <row r="203" spans="1:9" x14ac:dyDescent="0.25">
      <c r="A203" t="s">
        <v>435</v>
      </c>
      <c r="B203" t="s">
        <v>49</v>
      </c>
      <c r="C203" t="s">
        <v>98</v>
      </c>
      <c r="E203">
        <v>205979.05</v>
      </c>
      <c r="G203" s="1">
        <v>45242</v>
      </c>
      <c r="H203" t="s">
        <v>15</v>
      </c>
      <c r="I203" t="s">
        <v>436</v>
      </c>
    </row>
    <row r="204" spans="1:9" x14ac:dyDescent="0.25">
      <c r="A204" t="s">
        <v>437</v>
      </c>
      <c r="B204" t="s">
        <v>22</v>
      </c>
      <c r="C204" t="s">
        <v>25</v>
      </c>
      <c r="E204">
        <v>276970.25</v>
      </c>
      <c r="G204" s="1">
        <v>45749</v>
      </c>
      <c r="H204" t="s">
        <v>30</v>
      </c>
      <c r="I204" t="s">
        <v>438</v>
      </c>
    </row>
    <row r="205" spans="1:9" x14ac:dyDescent="0.25">
      <c r="A205" t="s">
        <v>439</v>
      </c>
      <c r="B205" t="s">
        <v>39</v>
      </c>
      <c r="C205" t="s">
        <v>14</v>
      </c>
      <c r="E205">
        <v>266396.52</v>
      </c>
      <c r="G205" s="1">
        <v>45372</v>
      </c>
      <c r="H205" t="s">
        <v>51</v>
      </c>
      <c r="I205" t="s">
        <v>440</v>
      </c>
    </row>
    <row r="206" spans="1:9" x14ac:dyDescent="0.25">
      <c r="A206" t="s">
        <v>441</v>
      </c>
      <c r="B206" t="s">
        <v>49</v>
      </c>
      <c r="C206" t="s">
        <v>19</v>
      </c>
      <c r="E206">
        <v>231067.39</v>
      </c>
      <c r="G206" s="1">
        <v>45843</v>
      </c>
      <c r="I206" t="s">
        <v>442</v>
      </c>
    </row>
    <row r="207" spans="1:9" x14ac:dyDescent="0.25">
      <c r="A207" t="s">
        <v>443</v>
      </c>
      <c r="B207" t="s">
        <v>97</v>
      </c>
      <c r="C207" t="s">
        <v>50</v>
      </c>
      <c r="E207">
        <v>207241.97</v>
      </c>
      <c r="G207" s="1">
        <v>45566</v>
      </c>
      <c r="H207" t="s">
        <v>30</v>
      </c>
      <c r="I207" t="s">
        <v>444</v>
      </c>
    </row>
    <row r="208" spans="1:9" x14ac:dyDescent="0.25">
      <c r="A208" t="s">
        <v>445</v>
      </c>
      <c r="B208" t="s">
        <v>39</v>
      </c>
      <c r="C208" t="s">
        <v>98</v>
      </c>
      <c r="E208">
        <v>191794.04</v>
      </c>
      <c r="G208" s="1">
        <v>45678</v>
      </c>
      <c r="H208" t="s">
        <v>15</v>
      </c>
      <c r="I208" t="s">
        <v>446</v>
      </c>
    </row>
    <row r="209" spans="1:9" x14ac:dyDescent="0.25">
      <c r="A209" t="s">
        <v>447</v>
      </c>
      <c r="B209" t="s">
        <v>448</v>
      </c>
      <c r="C209" t="s">
        <v>25</v>
      </c>
      <c r="E209">
        <v>282220.37</v>
      </c>
      <c r="G209" s="1">
        <v>45360</v>
      </c>
      <c r="H209" t="s">
        <v>30</v>
      </c>
      <c r="I209" t="s">
        <v>449</v>
      </c>
    </row>
    <row r="210" spans="1:9" x14ac:dyDescent="0.25">
      <c r="B210" t="s">
        <v>22</v>
      </c>
      <c r="C210" t="s">
        <v>10</v>
      </c>
      <c r="E210">
        <v>110579.4</v>
      </c>
      <c r="G210" s="1">
        <v>45265</v>
      </c>
      <c r="H210" t="s">
        <v>11</v>
      </c>
      <c r="I210" t="s">
        <v>450</v>
      </c>
    </row>
    <row r="211" spans="1:9" x14ac:dyDescent="0.25">
      <c r="A211" t="s">
        <v>451</v>
      </c>
      <c r="B211" t="s">
        <v>18</v>
      </c>
      <c r="C211" t="s">
        <v>19</v>
      </c>
      <c r="D211">
        <v>65</v>
      </c>
      <c r="E211">
        <v>66644.350000000006</v>
      </c>
      <c r="F211">
        <v>4331882.75</v>
      </c>
      <c r="G211" s="1">
        <v>45710</v>
      </c>
      <c r="H211" t="s">
        <v>30</v>
      </c>
      <c r="I211" t="s">
        <v>452</v>
      </c>
    </row>
    <row r="212" spans="1:9" x14ac:dyDescent="0.25">
      <c r="A212" t="s">
        <v>453</v>
      </c>
      <c r="B212" t="s">
        <v>230</v>
      </c>
      <c r="C212" t="s">
        <v>19</v>
      </c>
      <c r="G212" s="1">
        <v>45241</v>
      </c>
      <c r="H212" t="s">
        <v>30</v>
      </c>
    </row>
    <row r="213" spans="1:9" x14ac:dyDescent="0.25">
      <c r="A213" t="s">
        <v>454</v>
      </c>
      <c r="B213" t="s">
        <v>57</v>
      </c>
      <c r="C213" t="s">
        <v>59</v>
      </c>
      <c r="E213">
        <v>287229.48</v>
      </c>
      <c r="G213" s="1">
        <v>45505</v>
      </c>
      <c r="H213" t="s">
        <v>15</v>
      </c>
      <c r="I213" t="s">
        <v>455</v>
      </c>
    </row>
    <row r="214" spans="1:9" x14ac:dyDescent="0.25">
      <c r="A214" t="s">
        <v>456</v>
      </c>
      <c r="B214" t="s">
        <v>36</v>
      </c>
      <c r="C214" t="s">
        <v>14</v>
      </c>
      <c r="D214">
        <v>92</v>
      </c>
      <c r="E214">
        <v>143715.48000000001</v>
      </c>
      <c r="F214">
        <v>13221824.16</v>
      </c>
      <c r="G214" s="1">
        <v>45517</v>
      </c>
      <c r="H214" t="s">
        <v>11</v>
      </c>
      <c r="I214" t="s">
        <v>457</v>
      </c>
    </row>
    <row r="215" spans="1:9" x14ac:dyDescent="0.25">
      <c r="A215" t="s">
        <v>458</v>
      </c>
      <c r="B215" t="s">
        <v>28</v>
      </c>
      <c r="C215" t="s">
        <v>98</v>
      </c>
      <c r="E215">
        <v>136766.10999999999</v>
      </c>
      <c r="G215" s="1">
        <v>45480</v>
      </c>
      <c r="H215" t="s">
        <v>15</v>
      </c>
      <c r="I215" t="s">
        <v>459</v>
      </c>
    </row>
    <row r="216" spans="1:9" x14ac:dyDescent="0.25">
      <c r="A216" t="s">
        <v>460</v>
      </c>
      <c r="B216" t="s">
        <v>87</v>
      </c>
      <c r="C216" t="s">
        <v>25</v>
      </c>
      <c r="D216">
        <v>23</v>
      </c>
      <c r="E216">
        <v>296656.96999999997</v>
      </c>
      <c r="F216">
        <v>6823110.3099999996</v>
      </c>
      <c r="G216" s="1">
        <v>45505</v>
      </c>
      <c r="H216" t="s">
        <v>11</v>
      </c>
      <c r="I216" t="s">
        <v>461</v>
      </c>
    </row>
    <row r="217" spans="1:9" x14ac:dyDescent="0.25">
      <c r="A217" t="s">
        <v>462</v>
      </c>
      <c r="B217" t="s">
        <v>87</v>
      </c>
      <c r="C217" t="s">
        <v>19</v>
      </c>
      <c r="E217">
        <v>112400.64</v>
      </c>
      <c r="G217" s="1">
        <v>45800</v>
      </c>
      <c r="H217" t="s">
        <v>11</v>
      </c>
      <c r="I217" t="s">
        <v>463</v>
      </c>
    </row>
    <row r="218" spans="1:9" x14ac:dyDescent="0.25">
      <c r="A218" t="s">
        <v>464</v>
      </c>
      <c r="B218" t="s">
        <v>465</v>
      </c>
      <c r="C218" t="s">
        <v>84</v>
      </c>
      <c r="E218">
        <v>210731.25</v>
      </c>
      <c r="G218" s="1">
        <v>45357</v>
      </c>
      <c r="H218" t="s">
        <v>11</v>
      </c>
      <c r="I218" t="s">
        <v>466</v>
      </c>
    </row>
    <row r="219" spans="1:9" x14ac:dyDescent="0.25">
      <c r="A219" t="s">
        <v>467</v>
      </c>
      <c r="B219" t="s">
        <v>22</v>
      </c>
      <c r="C219" t="s">
        <v>50</v>
      </c>
      <c r="E219">
        <v>273882.67</v>
      </c>
      <c r="G219" s="1">
        <v>45504</v>
      </c>
      <c r="H219" t="s">
        <v>15</v>
      </c>
      <c r="I219" t="s">
        <v>468</v>
      </c>
    </row>
    <row r="220" spans="1:9" x14ac:dyDescent="0.25">
      <c r="A220" t="s">
        <v>469</v>
      </c>
      <c r="B220" t="s">
        <v>230</v>
      </c>
      <c r="C220" t="s">
        <v>76</v>
      </c>
      <c r="D220">
        <v>79</v>
      </c>
      <c r="E220">
        <v>227326.48</v>
      </c>
      <c r="F220">
        <v>17958791.920000002</v>
      </c>
      <c r="G220" s="1">
        <v>45136</v>
      </c>
      <c r="H220" t="s">
        <v>11</v>
      </c>
      <c r="I220" t="s">
        <v>470</v>
      </c>
    </row>
    <row r="221" spans="1:9" x14ac:dyDescent="0.25">
      <c r="A221" t="s">
        <v>471</v>
      </c>
      <c r="B221" t="s">
        <v>46</v>
      </c>
      <c r="C221" t="s">
        <v>19</v>
      </c>
      <c r="E221">
        <v>240697.5</v>
      </c>
      <c r="G221" s="1">
        <v>45187</v>
      </c>
      <c r="H221" t="s">
        <v>51</v>
      </c>
      <c r="I221" t="s">
        <v>472</v>
      </c>
    </row>
    <row r="222" spans="1:9" x14ac:dyDescent="0.25">
      <c r="A222" t="s">
        <v>473</v>
      </c>
      <c r="B222" t="s">
        <v>57</v>
      </c>
      <c r="C222" t="s">
        <v>50</v>
      </c>
      <c r="G222" s="1">
        <v>45423</v>
      </c>
      <c r="H222" t="s">
        <v>51</v>
      </c>
      <c r="I222" t="s">
        <v>474</v>
      </c>
    </row>
    <row r="223" spans="1:9" x14ac:dyDescent="0.25">
      <c r="B223" t="s">
        <v>33</v>
      </c>
      <c r="C223" t="s">
        <v>98</v>
      </c>
      <c r="E223">
        <v>247768.25</v>
      </c>
      <c r="G223" s="1">
        <v>45510</v>
      </c>
      <c r="I223" t="s">
        <v>475</v>
      </c>
    </row>
    <row r="224" spans="1:9" x14ac:dyDescent="0.25">
      <c r="A224" t="s">
        <v>476</v>
      </c>
      <c r="B224" t="s">
        <v>33</v>
      </c>
      <c r="C224" t="s">
        <v>14</v>
      </c>
      <c r="E224">
        <v>228676.96</v>
      </c>
      <c r="G224" s="1">
        <v>45473</v>
      </c>
      <c r="H224" t="s">
        <v>51</v>
      </c>
      <c r="I224" t="s">
        <v>477</v>
      </c>
    </row>
    <row r="225" spans="1:9" x14ac:dyDescent="0.25">
      <c r="A225" t="s">
        <v>478</v>
      </c>
      <c r="B225" t="s">
        <v>46</v>
      </c>
      <c r="C225" t="s">
        <v>14</v>
      </c>
      <c r="E225">
        <v>204262.41</v>
      </c>
      <c r="G225" s="1">
        <v>45304</v>
      </c>
      <c r="I225" t="s">
        <v>479</v>
      </c>
    </row>
    <row r="226" spans="1:9" x14ac:dyDescent="0.25">
      <c r="A226" t="s">
        <v>480</v>
      </c>
      <c r="B226" t="s">
        <v>119</v>
      </c>
      <c r="C226" t="s">
        <v>172</v>
      </c>
      <c r="E226">
        <v>178946.43</v>
      </c>
      <c r="G226" s="1">
        <v>45285</v>
      </c>
      <c r="H226" t="s">
        <v>51</v>
      </c>
    </row>
    <row r="227" spans="1:9" x14ac:dyDescent="0.25">
      <c r="A227" t="s">
        <v>481</v>
      </c>
      <c r="B227" t="s">
        <v>311</v>
      </c>
      <c r="C227" t="s">
        <v>50</v>
      </c>
      <c r="E227">
        <v>236317.52</v>
      </c>
      <c r="G227" s="1">
        <v>45571</v>
      </c>
      <c r="H227" t="s">
        <v>15</v>
      </c>
      <c r="I227" t="s">
        <v>482</v>
      </c>
    </row>
    <row r="228" spans="1:9" x14ac:dyDescent="0.25">
      <c r="A228" t="s">
        <v>483</v>
      </c>
      <c r="B228" t="s">
        <v>46</v>
      </c>
      <c r="C228" t="s">
        <v>29</v>
      </c>
      <c r="E228">
        <v>157889.24</v>
      </c>
      <c r="G228" s="1">
        <v>45392</v>
      </c>
      <c r="I228" t="s">
        <v>484</v>
      </c>
    </row>
    <row r="229" spans="1:9" x14ac:dyDescent="0.25">
      <c r="A229" t="s">
        <v>485</v>
      </c>
      <c r="B229" t="s">
        <v>83</v>
      </c>
      <c r="C229" t="s">
        <v>50</v>
      </c>
      <c r="E229">
        <v>158687.85</v>
      </c>
      <c r="G229" s="1">
        <v>45155</v>
      </c>
      <c r="H229" t="s">
        <v>30</v>
      </c>
      <c r="I229" t="s">
        <v>486</v>
      </c>
    </row>
    <row r="230" spans="1:9" x14ac:dyDescent="0.25">
      <c r="A230" t="s">
        <v>487</v>
      </c>
      <c r="B230" t="s">
        <v>49</v>
      </c>
      <c r="C230" t="s">
        <v>76</v>
      </c>
      <c r="E230">
        <v>108854.57</v>
      </c>
      <c r="G230" s="1">
        <v>45157</v>
      </c>
      <c r="H230" t="s">
        <v>30</v>
      </c>
      <c r="I230" t="s">
        <v>488</v>
      </c>
    </row>
    <row r="231" spans="1:9" x14ac:dyDescent="0.25">
      <c r="A231" t="s">
        <v>489</v>
      </c>
      <c r="B231" t="s">
        <v>33</v>
      </c>
      <c r="C231" t="s">
        <v>29</v>
      </c>
      <c r="E231">
        <v>275214.78999999998</v>
      </c>
      <c r="G231" s="1">
        <v>45336</v>
      </c>
      <c r="H231" t="s">
        <v>51</v>
      </c>
      <c r="I231" t="s">
        <v>490</v>
      </c>
    </row>
    <row r="232" spans="1:9" x14ac:dyDescent="0.25">
      <c r="A232" t="s">
        <v>491</v>
      </c>
      <c r="B232" t="s">
        <v>49</v>
      </c>
      <c r="C232" t="s">
        <v>76</v>
      </c>
      <c r="D232">
        <v>78</v>
      </c>
      <c r="G232" s="1">
        <v>45502</v>
      </c>
      <c r="H232" t="s">
        <v>30</v>
      </c>
      <c r="I232" t="s">
        <v>492</v>
      </c>
    </row>
    <row r="233" spans="1:9" x14ac:dyDescent="0.25">
      <c r="A233" t="s">
        <v>493</v>
      </c>
      <c r="B233" t="s">
        <v>115</v>
      </c>
      <c r="C233" t="s">
        <v>19</v>
      </c>
      <c r="D233">
        <v>43</v>
      </c>
      <c r="E233">
        <v>34106.53</v>
      </c>
      <c r="F233">
        <v>1466580.79</v>
      </c>
      <c r="G233" s="1">
        <v>45582</v>
      </c>
      <c r="H233" t="s">
        <v>51</v>
      </c>
      <c r="I233" t="s">
        <v>494</v>
      </c>
    </row>
    <row r="234" spans="1:9" x14ac:dyDescent="0.25">
      <c r="A234" t="s">
        <v>495</v>
      </c>
      <c r="B234" t="s">
        <v>97</v>
      </c>
      <c r="C234" t="s">
        <v>10</v>
      </c>
      <c r="E234">
        <v>248717.83</v>
      </c>
      <c r="G234" s="1">
        <v>45803</v>
      </c>
      <c r="H234" t="s">
        <v>51</v>
      </c>
      <c r="I234" t="s">
        <v>496</v>
      </c>
    </row>
    <row r="235" spans="1:9" x14ac:dyDescent="0.25">
      <c r="A235" t="s">
        <v>497</v>
      </c>
      <c r="B235" t="s">
        <v>33</v>
      </c>
      <c r="C235" t="s">
        <v>25</v>
      </c>
      <c r="E235">
        <v>270915</v>
      </c>
      <c r="G235" s="1">
        <v>45772</v>
      </c>
      <c r="H235" t="s">
        <v>30</v>
      </c>
      <c r="I235" t="s">
        <v>498</v>
      </c>
    </row>
    <row r="236" spans="1:9" x14ac:dyDescent="0.25">
      <c r="B236" t="s">
        <v>205</v>
      </c>
      <c r="C236" t="s">
        <v>76</v>
      </c>
      <c r="E236">
        <v>61045.96</v>
      </c>
      <c r="G236" s="1">
        <v>45626</v>
      </c>
      <c r="H236" t="s">
        <v>30</v>
      </c>
      <c r="I236" t="s">
        <v>499</v>
      </c>
    </row>
    <row r="237" spans="1:9" x14ac:dyDescent="0.25">
      <c r="A237" t="s">
        <v>500</v>
      </c>
      <c r="B237" t="s">
        <v>57</v>
      </c>
      <c r="C237" t="s">
        <v>25</v>
      </c>
      <c r="E237">
        <v>161229.72</v>
      </c>
      <c r="G237" s="1">
        <v>45640</v>
      </c>
      <c r="H237" t="s">
        <v>11</v>
      </c>
      <c r="I237" t="s">
        <v>501</v>
      </c>
    </row>
    <row r="238" spans="1:9" x14ac:dyDescent="0.25">
      <c r="A238" t="s">
        <v>502</v>
      </c>
      <c r="B238" t="s">
        <v>57</v>
      </c>
      <c r="C238" t="s">
        <v>98</v>
      </c>
      <c r="D238">
        <v>51</v>
      </c>
      <c r="E238">
        <v>49778.879999999997</v>
      </c>
      <c r="F238">
        <v>2538722.88</v>
      </c>
      <c r="G238" s="1">
        <v>45483</v>
      </c>
      <c r="I238" t="s">
        <v>503</v>
      </c>
    </row>
    <row r="239" spans="1:9" x14ac:dyDescent="0.25">
      <c r="A239" t="s">
        <v>504</v>
      </c>
      <c r="B239" t="s">
        <v>36</v>
      </c>
      <c r="C239" t="s">
        <v>50</v>
      </c>
      <c r="E239">
        <v>256418.56</v>
      </c>
      <c r="G239" s="1">
        <v>45339</v>
      </c>
      <c r="H239" t="s">
        <v>51</v>
      </c>
      <c r="I239" t="s">
        <v>505</v>
      </c>
    </row>
    <row r="240" spans="1:9" x14ac:dyDescent="0.25">
      <c r="A240" t="s">
        <v>506</v>
      </c>
      <c r="B240" t="s">
        <v>83</v>
      </c>
      <c r="C240" t="s">
        <v>29</v>
      </c>
      <c r="E240">
        <v>132831.25</v>
      </c>
      <c r="G240" s="1">
        <v>45534</v>
      </c>
      <c r="H240" t="s">
        <v>30</v>
      </c>
    </row>
    <row r="241" spans="1:9" x14ac:dyDescent="0.25">
      <c r="A241" t="s">
        <v>507</v>
      </c>
      <c r="B241" t="s">
        <v>28</v>
      </c>
      <c r="C241" t="s">
        <v>29</v>
      </c>
      <c r="E241">
        <v>204248.42</v>
      </c>
      <c r="G241" s="1">
        <v>45124</v>
      </c>
      <c r="I241" t="s">
        <v>508</v>
      </c>
    </row>
    <row r="242" spans="1:9" x14ac:dyDescent="0.25">
      <c r="A242" t="s">
        <v>509</v>
      </c>
      <c r="B242" t="s">
        <v>46</v>
      </c>
      <c r="C242" t="s">
        <v>172</v>
      </c>
      <c r="G242" s="1">
        <v>45776</v>
      </c>
      <c r="H242" t="s">
        <v>30</v>
      </c>
      <c r="I242" t="s">
        <v>510</v>
      </c>
    </row>
    <row r="243" spans="1:9" x14ac:dyDescent="0.25">
      <c r="A243" t="s">
        <v>511</v>
      </c>
      <c r="B243" t="s">
        <v>93</v>
      </c>
      <c r="C243" t="s">
        <v>50</v>
      </c>
      <c r="E243">
        <v>215216.93</v>
      </c>
      <c r="G243" s="1">
        <v>45201</v>
      </c>
      <c r="H243" t="s">
        <v>30</v>
      </c>
      <c r="I243" t="s">
        <v>512</v>
      </c>
    </row>
    <row r="244" spans="1:9" x14ac:dyDescent="0.25">
      <c r="A244" t="s">
        <v>513</v>
      </c>
      <c r="B244" t="s">
        <v>18</v>
      </c>
      <c r="C244" t="s">
        <v>14</v>
      </c>
      <c r="E244">
        <v>146903.98000000001</v>
      </c>
      <c r="G244" s="1">
        <v>45452</v>
      </c>
      <c r="H244" t="s">
        <v>11</v>
      </c>
      <c r="I244" t="s">
        <v>514</v>
      </c>
    </row>
    <row r="245" spans="1:9" x14ac:dyDescent="0.25">
      <c r="A245" t="s">
        <v>515</v>
      </c>
      <c r="B245" t="s">
        <v>516</v>
      </c>
      <c r="C245" t="s">
        <v>29</v>
      </c>
      <c r="E245">
        <v>269717.36</v>
      </c>
      <c r="G245" s="1">
        <v>45222</v>
      </c>
      <c r="H245" t="s">
        <v>51</v>
      </c>
      <c r="I245" t="s">
        <v>517</v>
      </c>
    </row>
    <row r="246" spans="1:9" x14ac:dyDescent="0.25">
      <c r="A246" t="s">
        <v>518</v>
      </c>
      <c r="B246" t="s">
        <v>22</v>
      </c>
      <c r="C246" t="s">
        <v>14</v>
      </c>
      <c r="E246">
        <v>133922.07</v>
      </c>
      <c r="G246" s="1">
        <v>45803</v>
      </c>
      <c r="H246" t="s">
        <v>51</v>
      </c>
      <c r="I246" t="s">
        <v>519</v>
      </c>
    </row>
    <row r="247" spans="1:9" x14ac:dyDescent="0.25">
      <c r="A247" t="s">
        <v>520</v>
      </c>
      <c r="B247" t="s">
        <v>39</v>
      </c>
      <c r="C247" t="s">
        <v>50</v>
      </c>
      <c r="E247">
        <v>17162.919999999998</v>
      </c>
      <c r="G247" s="1">
        <v>45323</v>
      </c>
      <c r="H247" t="s">
        <v>15</v>
      </c>
      <c r="I247" t="s">
        <v>521</v>
      </c>
    </row>
    <row r="248" spans="1:9" x14ac:dyDescent="0.25">
      <c r="A248" t="s">
        <v>522</v>
      </c>
      <c r="B248" t="s">
        <v>83</v>
      </c>
      <c r="C248" t="s">
        <v>14</v>
      </c>
      <c r="E248">
        <v>40017.33</v>
      </c>
      <c r="G248" s="1">
        <v>45683</v>
      </c>
      <c r="H248" t="s">
        <v>11</v>
      </c>
      <c r="I248" t="s">
        <v>523</v>
      </c>
    </row>
    <row r="249" spans="1:9" x14ac:dyDescent="0.25">
      <c r="B249" t="s">
        <v>36</v>
      </c>
      <c r="C249" t="s">
        <v>98</v>
      </c>
      <c r="E249">
        <v>124919.66</v>
      </c>
      <c r="G249" s="1">
        <v>45402</v>
      </c>
      <c r="I249" t="s">
        <v>524</v>
      </c>
    </row>
    <row r="250" spans="1:9" x14ac:dyDescent="0.25">
      <c r="A250" t="s">
        <v>525</v>
      </c>
      <c r="B250" t="s">
        <v>33</v>
      </c>
      <c r="C250" t="s">
        <v>103</v>
      </c>
      <c r="D250">
        <v>40</v>
      </c>
      <c r="E250">
        <v>169391.4</v>
      </c>
      <c r="F250">
        <v>6775656</v>
      </c>
      <c r="G250" s="1">
        <v>45711</v>
      </c>
      <c r="H250" t="s">
        <v>11</v>
      </c>
      <c r="I250" t="s">
        <v>526</v>
      </c>
    </row>
    <row r="251" spans="1:9" x14ac:dyDescent="0.25">
      <c r="A251" t="s">
        <v>527</v>
      </c>
      <c r="B251" t="s">
        <v>49</v>
      </c>
      <c r="C251" t="s">
        <v>19</v>
      </c>
      <c r="E251">
        <v>167859.76</v>
      </c>
      <c r="G251" s="1">
        <v>45431</v>
      </c>
      <c r="I251" t="s">
        <v>528</v>
      </c>
    </row>
    <row r="252" spans="1:9" x14ac:dyDescent="0.25">
      <c r="A252" t="s">
        <v>529</v>
      </c>
      <c r="B252" t="s">
        <v>36</v>
      </c>
      <c r="C252" t="s">
        <v>19</v>
      </c>
      <c r="G252" s="1">
        <v>45402</v>
      </c>
      <c r="H252" t="s">
        <v>51</v>
      </c>
      <c r="I252" t="s">
        <v>530</v>
      </c>
    </row>
    <row r="253" spans="1:9" x14ac:dyDescent="0.25">
      <c r="A253" t="s">
        <v>531</v>
      </c>
      <c r="B253" t="s">
        <v>13</v>
      </c>
      <c r="C253" t="s">
        <v>25</v>
      </c>
      <c r="D253">
        <v>25</v>
      </c>
      <c r="E253">
        <v>201993.93</v>
      </c>
      <c r="F253">
        <v>5049848.25</v>
      </c>
      <c r="G253" s="1">
        <v>45153</v>
      </c>
      <c r="H253" t="s">
        <v>15</v>
      </c>
      <c r="I253" t="s">
        <v>532</v>
      </c>
    </row>
    <row r="254" spans="1:9" x14ac:dyDescent="0.25">
      <c r="A254" t="s">
        <v>533</v>
      </c>
      <c r="B254" t="s">
        <v>112</v>
      </c>
      <c r="C254" t="s">
        <v>98</v>
      </c>
      <c r="D254">
        <v>18</v>
      </c>
      <c r="E254">
        <v>92796.78</v>
      </c>
      <c r="F254">
        <v>1670342.04</v>
      </c>
      <c r="G254" s="1">
        <v>45429</v>
      </c>
      <c r="H254" t="s">
        <v>15</v>
      </c>
    </row>
    <row r="255" spans="1:9" x14ac:dyDescent="0.25">
      <c r="A255" t="s">
        <v>534</v>
      </c>
      <c r="B255" t="s">
        <v>22</v>
      </c>
      <c r="C255" t="s">
        <v>29</v>
      </c>
      <c r="E255">
        <v>7020.25</v>
      </c>
      <c r="G255" s="1">
        <v>45157</v>
      </c>
      <c r="H255" t="s">
        <v>51</v>
      </c>
      <c r="I255" t="s">
        <v>535</v>
      </c>
    </row>
    <row r="256" spans="1:9" x14ac:dyDescent="0.25">
      <c r="A256" t="s">
        <v>536</v>
      </c>
      <c r="B256" t="s">
        <v>93</v>
      </c>
      <c r="C256" t="s">
        <v>25</v>
      </c>
      <c r="E256">
        <v>76709.94</v>
      </c>
      <c r="G256" s="1">
        <v>45560</v>
      </c>
      <c r="H256" t="s">
        <v>30</v>
      </c>
      <c r="I256" t="s">
        <v>537</v>
      </c>
    </row>
    <row r="257" spans="1:9" x14ac:dyDescent="0.25">
      <c r="A257" t="s">
        <v>538</v>
      </c>
      <c r="B257" t="s">
        <v>46</v>
      </c>
      <c r="C257" t="s">
        <v>25</v>
      </c>
      <c r="E257">
        <v>1403.13</v>
      </c>
      <c r="G257" s="1">
        <v>45554</v>
      </c>
      <c r="H257" t="s">
        <v>11</v>
      </c>
      <c r="I257" t="s">
        <v>539</v>
      </c>
    </row>
    <row r="258" spans="1:9" x14ac:dyDescent="0.25">
      <c r="A258" t="s">
        <v>540</v>
      </c>
      <c r="B258" t="s">
        <v>230</v>
      </c>
      <c r="C258" t="s">
        <v>10</v>
      </c>
      <c r="E258">
        <v>65761.440000000002</v>
      </c>
      <c r="G258" s="1">
        <v>45269</v>
      </c>
      <c r="H258" t="s">
        <v>15</v>
      </c>
      <c r="I258" t="s">
        <v>541</v>
      </c>
    </row>
    <row r="259" spans="1:9" x14ac:dyDescent="0.25">
      <c r="A259" t="s">
        <v>542</v>
      </c>
      <c r="B259" t="s">
        <v>230</v>
      </c>
      <c r="C259" t="s">
        <v>50</v>
      </c>
      <c r="E259">
        <v>22372.34</v>
      </c>
      <c r="G259" s="1">
        <v>45399</v>
      </c>
      <c r="H259" t="s">
        <v>30</v>
      </c>
      <c r="I259" t="s">
        <v>543</v>
      </c>
    </row>
    <row r="260" spans="1:9" x14ac:dyDescent="0.25">
      <c r="A260" t="s">
        <v>544</v>
      </c>
      <c r="B260" t="s">
        <v>57</v>
      </c>
      <c r="C260" t="s">
        <v>29</v>
      </c>
      <c r="E260">
        <v>127397.37</v>
      </c>
      <c r="G260" s="1">
        <v>45547</v>
      </c>
      <c r="I260" t="s">
        <v>545</v>
      </c>
    </row>
    <row r="261" spans="1:9" x14ac:dyDescent="0.25">
      <c r="A261" t="s">
        <v>546</v>
      </c>
      <c r="B261" t="s">
        <v>115</v>
      </c>
      <c r="C261" t="s">
        <v>25</v>
      </c>
      <c r="E261">
        <v>210265.27</v>
      </c>
      <c r="G261" s="1">
        <v>45342</v>
      </c>
      <c r="H261" t="s">
        <v>15</v>
      </c>
      <c r="I261" t="s">
        <v>547</v>
      </c>
    </row>
    <row r="262" spans="1:9" x14ac:dyDescent="0.25">
      <c r="B262" t="s">
        <v>49</v>
      </c>
      <c r="C262" t="s">
        <v>29</v>
      </c>
      <c r="D262">
        <v>49</v>
      </c>
      <c r="G262" s="1">
        <v>45175</v>
      </c>
      <c r="I262" t="s">
        <v>548</v>
      </c>
    </row>
    <row r="263" spans="1:9" x14ac:dyDescent="0.25">
      <c r="A263" t="s">
        <v>549</v>
      </c>
      <c r="B263" t="s">
        <v>276</v>
      </c>
      <c r="C263" t="s">
        <v>76</v>
      </c>
      <c r="D263">
        <v>21</v>
      </c>
      <c r="E263">
        <v>162578.47</v>
      </c>
      <c r="F263">
        <v>3414147.87</v>
      </c>
      <c r="G263" s="1">
        <v>45418</v>
      </c>
      <c r="H263" t="s">
        <v>30</v>
      </c>
      <c r="I263" t="s">
        <v>550</v>
      </c>
    </row>
    <row r="264" spans="1:9" x14ac:dyDescent="0.25">
      <c r="A264" t="s">
        <v>551</v>
      </c>
      <c r="B264" t="s">
        <v>115</v>
      </c>
      <c r="C264" t="s">
        <v>50</v>
      </c>
      <c r="E264">
        <v>18546.560000000001</v>
      </c>
      <c r="G264" s="1">
        <v>45509</v>
      </c>
      <c r="I264" t="s">
        <v>552</v>
      </c>
    </row>
    <row r="265" spans="1:9" x14ac:dyDescent="0.25">
      <c r="A265" t="s">
        <v>553</v>
      </c>
      <c r="B265" t="s">
        <v>13</v>
      </c>
      <c r="C265" t="s">
        <v>29</v>
      </c>
      <c r="E265">
        <v>268318.42</v>
      </c>
      <c r="G265" s="1">
        <v>45467</v>
      </c>
      <c r="H265" t="s">
        <v>30</v>
      </c>
      <c r="I265" t="s">
        <v>554</v>
      </c>
    </row>
    <row r="266" spans="1:9" x14ac:dyDescent="0.25">
      <c r="A266" t="s">
        <v>555</v>
      </c>
      <c r="B266" t="s">
        <v>115</v>
      </c>
      <c r="C266" t="s">
        <v>235</v>
      </c>
      <c r="D266">
        <v>57</v>
      </c>
      <c r="E266">
        <v>295848.11</v>
      </c>
      <c r="F266">
        <v>16863342.27</v>
      </c>
      <c r="G266" s="1">
        <v>45711</v>
      </c>
      <c r="I266" t="s">
        <v>556</v>
      </c>
    </row>
    <row r="267" spans="1:9" x14ac:dyDescent="0.25">
      <c r="A267" t="s">
        <v>557</v>
      </c>
      <c r="B267" t="s">
        <v>18</v>
      </c>
      <c r="C267" t="s">
        <v>25</v>
      </c>
      <c r="E267">
        <v>141885.32</v>
      </c>
      <c r="G267" s="1">
        <v>45545</v>
      </c>
      <c r="H267" t="s">
        <v>11</v>
      </c>
      <c r="I267" t="s">
        <v>558</v>
      </c>
    </row>
    <row r="268" spans="1:9" x14ac:dyDescent="0.25">
      <c r="A268" t="s">
        <v>559</v>
      </c>
      <c r="B268" t="s">
        <v>83</v>
      </c>
      <c r="C268" t="s">
        <v>14</v>
      </c>
      <c r="E268">
        <v>86483.67</v>
      </c>
      <c r="G268" s="1">
        <v>45335</v>
      </c>
      <c r="H268" t="s">
        <v>15</v>
      </c>
    </row>
    <row r="269" spans="1:9" x14ac:dyDescent="0.25">
      <c r="A269" t="s">
        <v>560</v>
      </c>
      <c r="B269" t="s">
        <v>143</v>
      </c>
      <c r="C269" t="s">
        <v>50</v>
      </c>
      <c r="E269">
        <v>54404.41</v>
      </c>
      <c r="G269" s="1">
        <v>45759</v>
      </c>
      <c r="H269" t="s">
        <v>15</v>
      </c>
      <c r="I269" s="2" t="s">
        <v>561</v>
      </c>
    </row>
    <row r="270" spans="1:9" x14ac:dyDescent="0.25">
      <c r="A270" t="s">
        <v>562</v>
      </c>
      <c r="B270" t="s">
        <v>46</v>
      </c>
      <c r="C270" t="s">
        <v>98</v>
      </c>
      <c r="E270">
        <v>41060.949999999997</v>
      </c>
      <c r="G270" s="1">
        <v>45602</v>
      </c>
      <c r="H270" t="s">
        <v>30</v>
      </c>
      <c r="I270" t="s">
        <v>563</v>
      </c>
    </row>
    <row r="271" spans="1:9" x14ac:dyDescent="0.25">
      <c r="A271" t="s">
        <v>564</v>
      </c>
      <c r="B271" t="s">
        <v>36</v>
      </c>
      <c r="C271" t="s">
        <v>14</v>
      </c>
      <c r="E271">
        <v>192636.74</v>
      </c>
      <c r="G271" s="1">
        <v>45646</v>
      </c>
      <c r="I271" t="s">
        <v>565</v>
      </c>
    </row>
    <row r="272" spans="1:9" x14ac:dyDescent="0.25">
      <c r="A272" t="s">
        <v>566</v>
      </c>
      <c r="B272" t="s">
        <v>465</v>
      </c>
      <c r="C272" t="s">
        <v>25</v>
      </c>
      <c r="D272">
        <v>58</v>
      </c>
      <c r="G272" s="1">
        <v>45592</v>
      </c>
      <c r="H272" t="s">
        <v>51</v>
      </c>
      <c r="I272" t="s">
        <v>567</v>
      </c>
    </row>
    <row r="273" spans="1:9" x14ac:dyDescent="0.25">
      <c r="A273" t="s">
        <v>568</v>
      </c>
      <c r="B273" t="s">
        <v>28</v>
      </c>
      <c r="C273" t="s">
        <v>25</v>
      </c>
      <c r="D273">
        <v>69</v>
      </c>
      <c r="E273">
        <v>218922.21</v>
      </c>
      <c r="F273">
        <v>15105632.49</v>
      </c>
      <c r="G273" s="1">
        <v>45210</v>
      </c>
      <c r="H273" t="s">
        <v>15</v>
      </c>
      <c r="I273" t="s">
        <v>569</v>
      </c>
    </row>
    <row r="274" spans="1:9" x14ac:dyDescent="0.25">
      <c r="A274" t="s">
        <v>570</v>
      </c>
      <c r="B274" t="s">
        <v>57</v>
      </c>
      <c r="C274" t="s">
        <v>10</v>
      </c>
      <c r="E274">
        <v>289152.88</v>
      </c>
      <c r="G274" s="1">
        <v>45217</v>
      </c>
      <c r="I274" t="s">
        <v>571</v>
      </c>
    </row>
    <row r="275" spans="1:9" x14ac:dyDescent="0.25">
      <c r="B275" t="s">
        <v>143</v>
      </c>
      <c r="C275" t="s">
        <v>50</v>
      </c>
      <c r="E275">
        <v>112651.05</v>
      </c>
      <c r="G275" s="1">
        <v>45193</v>
      </c>
      <c r="I275" t="s">
        <v>572</v>
      </c>
    </row>
    <row r="276" spans="1:9" x14ac:dyDescent="0.25">
      <c r="A276" t="s">
        <v>573</v>
      </c>
      <c r="B276" t="s">
        <v>57</v>
      </c>
      <c r="C276" t="s">
        <v>19</v>
      </c>
      <c r="E276">
        <v>267454.40999999997</v>
      </c>
      <c r="G276" s="1">
        <v>45423</v>
      </c>
      <c r="H276" t="s">
        <v>11</v>
      </c>
      <c r="I276" t="s">
        <v>574</v>
      </c>
    </row>
    <row r="277" spans="1:9" x14ac:dyDescent="0.25">
      <c r="A277" t="s">
        <v>575</v>
      </c>
      <c r="B277" t="s">
        <v>49</v>
      </c>
      <c r="C277" t="s">
        <v>25</v>
      </c>
      <c r="E277">
        <v>134836.87</v>
      </c>
      <c r="G277" s="1">
        <v>45407</v>
      </c>
      <c r="H277" t="s">
        <v>51</v>
      </c>
      <c r="I277" t="s">
        <v>576</v>
      </c>
    </row>
    <row r="278" spans="1:9" x14ac:dyDescent="0.25">
      <c r="A278" t="s">
        <v>577</v>
      </c>
      <c r="B278" t="s">
        <v>87</v>
      </c>
      <c r="C278" t="s">
        <v>76</v>
      </c>
      <c r="E278">
        <v>275175.96999999997</v>
      </c>
      <c r="G278" s="1">
        <v>45735</v>
      </c>
      <c r="H278" t="s">
        <v>15</v>
      </c>
      <c r="I278" t="s">
        <v>578</v>
      </c>
    </row>
    <row r="279" spans="1:9" x14ac:dyDescent="0.25">
      <c r="A279" t="s">
        <v>579</v>
      </c>
      <c r="B279" t="s">
        <v>36</v>
      </c>
      <c r="C279" t="s">
        <v>25</v>
      </c>
      <c r="E279">
        <v>113560.16</v>
      </c>
      <c r="G279" s="1">
        <v>45381</v>
      </c>
      <c r="H279" t="s">
        <v>11</v>
      </c>
      <c r="I279" t="s">
        <v>580</v>
      </c>
    </row>
    <row r="280" spans="1:9" x14ac:dyDescent="0.25">
      <c r="A280" t="s">
        <v>581</v>
      </c>
      <c r="B280" t="s">
        <v>49</v>
      </c>
      <c r="C280" t="s">
        <v>19</v>
      </c>
      <c r="E280">
        <v>24534.87</v>
      </c>
      <c r="G280" s="1">
        <v>45551</v>
      </c>
      <c r="H280" t="s">
        <v>51</v>
      </c>
      <c r="I280" t="s">
        <v>582</v>
      </c>
    </row>
    <row r="281" spans="1:9" x14ac:dyDescent="0.25">
      <c r="A281" t="s">
        <v>583</v>
      </c>
      <c r="B281" t="s">
        <v>584</v>
      </c>
      <c r="C281" t="s">
        <v>19</v>
      </c>
      <c r="D281">
        <v>54</v>
      </c>
      <c r="E281">
        <v>289261.24</v>
      </c>
      <c r="F281">
        <v>15620106.960000001</v>
      </c>
      <c r="G281" s="1">
        <v>45847</v>
      </c>
      <c r="H281" t="s">
        <v>15</v>
      </c>
      <c r="I281" t="s">
        <v>585</v>
      </c>
    </row>
    <row r="282" spans="1:9" x14ac:dyDescent="0.25">
      <c r="A282" t="s">
        <v>586</v>
      </c>
      <c r="B282" t="s">
        <v>49</v>
      </c>
      <c r="C282" t="s">
        <v>84</v>
      </c>
      <c r="G282" s="1">
        <v>45401</v>
      </c>
      <c r="H282" t="s">
        <v>11</v>
      </c>
    </row>
    <row r="283" spans="1:9" x14ac:dyDescent="0.25">
      <c r="A283" t="s">
        <v>587</v>
      </c>
      <c r="B283" t="s">
        <v>49</v>
      </c>
      <c r="C283" t="s">
        <v>98</v>
      </c>
      <c r="E283">
        <v>262428.84000000003</v>
      </c>
      <c r="G283" s="1">
        <v>45704</v>
      </c>
      <c r="H283" t="s">
        <v>51</v>
      </c>
      <c r="I283" t="s">
        <v>588</v>
      </c>
    </row>
    <row r="284" spans="1:9" x14ac:dyDescent="0.25">
      <c r="A284" t="s">
        <v>589</v>
      </c>
      <c r="B284" t="s">
        <v>87</v>
      </c>
      <c r="C284" t="s">
        <v>76</v>
      </c>
      <c r="E284">
        <v>40330.449999999997</v>
      </c>
      <c r="G284" s="1">
        <v>45230</v>
      </c>
      <c r="H284" t="s">
        <v>15</v>
      </c>
      <c r="I284" t="s">
        <v>590</v>
      </c>
    </row>
    <row r="285" spans="1:9" x14ac:dyDescent="0.25">
      <c r="A285" t="s">
        <v>591</v>
      </c>
      <c r="B285" t="s">
        <v>230</v>
      </c>
      <c r="C285" t="s">
        <v>59</v>
      </c>
      <c r="E285">
        <v>258155.83</v>
      </c>
      <c r="G285" s="1">
        <v>45272</v>
      </c>
      <c r="H285" t="s">
        <v>51</v>
      </c>
      <c r="I285" t="s">
        <v>592</v>
      </c>
    </row>
    <row r="286" spans="1:9" x14ac:dyDescent="0.25">
      <c r="A286" t="s">
        <v>593</v>
      </c>
      <c r="B286" t="s">
        <v>62</v>
      </c>
      <c r="C286" t="s">
        <v>25</v>
      </c>
      <c r="D286">
        <v>71</v>
      </c>
      <c r="E286">
        <v>36030.629999999997</v>
      </c>
      <c r="F286">
        <v>2558174.73</v>
      </c>
      <c r="G286" s="1">
        <v>45585</v>
      </c>
      <c r="I286" t="s">
        <v>594</v>
      </c>
    </row>
    <row r="287" spans="1:9" x14ac:dyDescent="0.25">
      <c r="A287" t="s">
        <v>595</v>
      </c>
      <c r="B287" t="s">
        <v>62</v>
      </c>
      <c r="C287" t="s">
        <v>98</v>
      </c>
      <c r="E287">
        <v>297857.61</v>
      </c>
      <c r="G287" s="1">
        <v>45513</v>
      </c>
      <c r="H287" t="s">
        <v>30</v>
      </c>
      <c r="I287" t="s">
        <v>596</v>
      </c>
    </row>
    <row r="288" spans="1:9" x14ac:dyDescent="0.25">
      <c r="B288" t="s">
        <v>93</v>
      </c>
      <c r="C288" t="s">
        <v>50</v>
      </c>
      <c r="E288">
        <v>118221.06</v>
      </c>
      <c r="G288" s="1">
        <v>45429</v>
      </c>
      <c r="H288" t="s">
        <v>30</v>
      </c>
      <c r="I288" t="s">
        <v>597</v>
      </c>
    </row>
    <row r="289" spans="1:9" x14ac:dyDescent="0.25">
      <c r="A289" t="s">
        <v>598</v>
      </c>
      <c r="B289" t="s">
        <v>49</v>
      </c>
      <c r="C289" t="s">
        <v>29</v>
      </c>
      <c r="D289">
        <v>11</v>
      </c>
      <c r="E289">
        <v>38640.449999999997</v>
      </c>
      <c r="F289">
        <v>425044.95</v>
      </c>
      <c r="G289" s="1">
        <v>45506</v>
      </c>
      <c r="I289" t="s">
        <v>599</v>
      </c>
    </row>
    <row r="290" spans="1:9" x14ac:dyDescent="0.25">
      <c r="A290" t="s">
        <v>600</v>
      </c>
      <c r="B290" t="s">
        <v>448</v>
      </c>
      <c r="C290" t="s">
        <v>138</v>
      </c>
      <c r="E290">
        <v>293627.95</v>
      </c>
      <c r="G290" s="1">
        <v>45149</v>
      </c>
      <c r="H290" t="s">
        <v>51</v>
      </c>
      <c r="I290" t="s">
        <v>601</v>
      </c>
    </row>
    <row r="291" spans="1:9" x14ac:dyDescent="0.25">
      <c r="A291" t="s">
        <v>602</v>
      </c>
      <c r="B291" t="s">
        <v>39</v>
      </c>
      <c r="C291" t="s">
        <v>25</v>
      </c>
      <c r="D291">
        <v>66</v>
      </c>
      <c r="E291">
        <v>250529.07</v>
      </c>
      <c r="F291">
        <v>16534918.619999999</v>
      </c>
      <c r="G291" s="1">
        <v>45153</v>
      </c>
      <c r="I291" t="s">
        <v>603</v>
      </c>
    </row>
    <row r="292" spans="1:9" x14ac:dyDescent="0.25">
      <c r="A292" t="s">
        <v>604</v>
      </c>
      <c r="B292" t="s">
        <v>93</v>
      </c>
      <c r="C292" t="s">
        <v>98</v>
      </c>
      <c r="D292">
        <v>56</v>
      </c>
      <c r="G292" s="1">
        <v>45148</v>
      </c>
      <c r="H292" t="s">
        <v>30</v>
      </c>
      <c r="I292" s="2" t="s">
        <v>605</v>
      </c>
    </row>
    <row r="293" spans="1:9" x14ac:dyDescent="0.25">
      <c r="A293" t="s">
        <v>606</v>
      </c>
      <c r="B293" t="s">
        <v>39</v>
      </c>
      <c r="C293" t="s">
        <v>14</v>
      </c>
      <c r="E293">
        <v>226975.73</v>
      </c>
      <c r="G293" s="1">
        <v>45224</v>
      </c>
      <c r="H293" t="s">
        <v>30</v>
      </c>
      <c r="I293" t="s">
        <v>607</v>
      </c>
    </row>
    <row r="294" spans="1:9" x14ac:dyDescent="0.25">
      <c r="A294" t="s">
        <v>608</v>
      </c>
      <c r="B294" t="s">
        <v>66</v>
      </c>
      <c r="C294" t="s">
        <v>19</v>
      </c>
      <c r="D294">
        <v>45</v>
      </c>
      <c r="E294">
        <v>293557.96000000002</v>
      </c>
      <c r="F294">
        <v>13210108.199999999</v>
      </c>
      <c r="G294" s="1">
        <v>45672</v>
      </c>
      <c r="H294" t="s">
        <v>51</v>
      </c>
      <c r="I294" t="s">
        <v>609</v>
      </c>
    </row>
    <row r="295" spans="1:9" x14ac:dyDescent="0.25">
      <c r="A295" t="s">
        <v>610</v>
      </c>
      <c r="B295" t="s">
        <v>39</v>
      </c>
      <c r="C295" t="s">
        <v>19</v>
      </c>
      <c r="D295">
        <v>54</v>
      </c>
      <c r="E295">
        <v>139169.67000000001</v>
      </c>
      <c r="F295">
        <v>7515162.1799999997</v>
      </c>
      <c r="G295" s="1">
        <v>45376</v>
      </c>
      <c r="H295" t="s">
        <v>30</v>
      </c>
      <c r="I295" t="s">
        <v>611</v>
      </c>
    </row>
    <row r="296" spans="1:9" x14ac:dyDescent="0.25">
      <c r="A296" t="s">
        <v>612</v>
      </c>
      <c r="B296" t="s">
        <v>22</v>
      </c>
      <c r="C296" t="s">
        <v>25</v>
      </c>
      <c r="E296">
        <v>215868.65</v>
      </c>
      <c r="G296" s="1">
        <v>45742</v>
      </c>
    </row>
    <row r="297" spans="1:9" x14ac:dyDescent="0.25">
      <c r="A297" t="s">
        <v>613</v>
      </c>
      <c r="B297" t="s">
        <v>115</v>
      </c>
      <c r="C297" t="s">
        <v>14</v>
      </c>
      <c r="D297">
        <v>48</v>
      </c>
      <c r="E297">
        <v>127526.34</v>
      </c>
      <c r="F297">
        <v>6121264.3200000003</v>
      </c>
      <c r="G297" s="1">
        <v>45485</v>
      </c>
      <c r="H297" t="s">
        <v>51</v>
      </c>
      <c r="I297" t="s">
        <v>614</v>
      </c>
    </row>
    <row r="298" spans="1:9" x14ac:dyDescent="0.25">
      <c r="A298" t="s">
        <v>615</v>
      </c>
      <c r="B298" t="s">
        <v>33</v>
      </c>
      <c r="C298" t="s">
        <v>103</v>
      </c>
      <c r="D298">
        <v>50</v>
      </c>
      <c r="E298">
        <v>114093.3</v>
      </c>
      <c r="F298">
        <v>5704665</v>
      </c>
      <c r="G298" s="1">
        <v>45521</v>
      </c>
      <c r="I298" t="s">
        <v>616</v>
      </c>
    </row>
    <row r="299" spans="1:9" x14ac:dyDescent="0.25">
      <c r="A299" t="s">
        <v>617</v>
      </c>
      <c r="B299" t="s">
        <v>43</v>
      </c>
      <c r="C299" t="s">
        <v>19</v>
      </c>
      <c r="D299">
        <v>48</v>
      </c>
      <c r="E299">
        <v>69284.39</v>
      </c>
      <c r="F299">
        <v>3325650.72</v>
      </c>
      <c r="G299" s="1">
        <v>45472</v>
      </c>
      <c r="H299" t="s">
        <v>51</v>
      </c>
      <c r="I299" t="s">
        <v>618</v>
      </c>
    </row>
    <row r="300" spans="1:9" x14ac:dyDescent="0.25">
      <c r="A300" t="s">
        <v>515</v>
      </c>
      <c r="B300" t="s">
        <v>22</v>
      </c>
      <c r="C300" t="s">
        <v>50</v>
      </c>
      <c r="E300">
        <v>138457.26999999999</v>
      </c>
      <c r="G300" s="1">
        <v>45233</v>
      </c>
      <c r="H300" t="s">
        <v>30</v>
      </c>
      <c r="I300" t="s">
        <v>619</v>
      </c>
    </row>
    <row r="301" spans="1:9" x14ac:dyDescent="0.25">
      <c r="B301" t="s">
        <v>87</v>
      </c>
      <c r="C301" t="s">
        <v>19</v>
      </c>
      <c r="E301">
        <v>46958.85</v>
      </c>
      <c r="G301" s="1">
        <v>45588</v>
      </c>
      <c r="H301" t="s">
        <v>15</v>
      </c>
      <c r="I301" t="s">
        <v>620</v>
      </c>
    </row>
    <row r="302" spans="1:9" x14ac:dyDescent="0.25">
      <c r="A302" t="s">
        <v>621</v>
      </c>
      <c r="B302" t="s">
        <v>66</v>
      </c>
      <c r="C302" t="s">
        <v>59</v>
      </c>
      <c r="G302" s="1">
        <v>45811</v>
      </c>
      <c r="H302" t="s">
        <v>51</v>
      </c>
      <c r="I302" t="s">
        <v>622</v>
      </c>
    </row>
    <row r="303" spans="1:9" x14ac:dyDescent="0.25">
      <c r="A303" t="s">
        <v>623</v>
      </c>
      <c r="B303" t="s">
        <v>49</v>
      </c>
      <c r="C303" t="s">
        <v>76</v>
      </c>
      <c r="D303">
        <v>19</v>
      </c>
      <c r="E303">
        <v>56949.9</v>
      </c>
      <c r="F303">
        <v>1082048.1000000001</v>
      </c>
      <c r="G303" s="1">
        <v>45518</v>
      </c>
      <c r="H303" t="s">
        <v>51</v>
      </c>
      <c r="I303" t="s">
        <v>624</v>
      </c>
    </row>
    <row r="304" spans="1:9" x14ac:dyDescent="0.25">
      <c r="A304" t="s">
        <v>625</v>
      </c>
      <c r="B304" t="s">
        <v>66</v>
      </c>
      <c r="C304" t="s">
        <v>59</v>
      </c>
      <c r="E304">
        <v>262624.84999999998</v>
      </c>
      <c r="G304" s="1">
        <v>45226</v>
      </c>
      <c r="H304" t="s">
        <v>15</v>
      </c>
      <c r="I304" t="s">
        <v>626</v>
      </c>
    </row>
    <row r="305" spans="1:9" x14ac:dyDescent="0.25">
      <c r="A305" t="s">
        <v>627</v>
      </c>
      <c r="B305" t="s">
        <v>39</v>
      </c>
      <c r="C305" t="s">
        <v>59</v>
      </c>
      <c r="E305">
        <v>229764.23</v>
      </c>
      <c r="G305" s="1">
        <v>45372</v>
      </c>
      <c r="H305" t="s">
        <v>30</v>
      </c>
      <c r="I305" t="s">
        <v>628</v>
      </c>
    </row>
    <row r="306" spans="1:9" x14ac:dyDescent="0.25">
      <c r="A306" t="s">
        <v>629</v>
      </c>
      <c r="B306" t="s">
        <v>46</v>
      </c>
      <c r="C306" t="s">
        <v>84</v>
      </c>
      <c r="E306">
        <v>10149.09</v>
      </c>
      <c r="G306" s="1">
        <v>45841</v>
      </c>
      <c r="I306" t="s">
        <v>630</v>
      </c>
    </row>
    <row r="307" spans="1:9" x14ac:dyDescent="0.25">
      <c r="A307" t="s">
        <v>631</v>
      </c>
      <c r="B307" t="s">
        <v>87</v>
      </c>
      <c r="C307" t="s">
        <v>14</v>
      </c>
      <c r="E307">
        <v>198229.21</v>
      </c>
      <c r="G307" s="1">
        <v>45594</v>
      </c>
      <c r="H307" t="s">
        <v>11</v>
      </c>
      <c r="I307" t="s">
        <v>632</v>
      </c>
    </row>
    <row r="308" spans="1:9" x14ac:dyDescent="0.25">
      <c r="A308" t="s">
        <v>633</v>
      </c>
      <c r="B308" t="s">
        <v>43</v>
      </c>
      <c r="C308" t="s">
        <v>59</v>
      </c>
      <c r="D308">
        <v>79</v>
      </c>
      <c r="E308">
        <v>184669.5</v>
      </c>
      <c r="F308">
        <v>14588890.5</v>
      </c>
      <c r="G308" s="1">
        <v>45365</v>
      </c>
      <c r="H308" t="s">
        <v>15</v>
      </c>
      <c r="I308" t="s">
        <v>634</v>
      </c>
    </row>
    <row r="309" spans="1:9" x14ac:dyDescent="0.25">
      <c r="A309" t="s">
        <v>635</v>
      </c>
      <c r="B309" t="s">
        <v>62</v>
      </c>
      <c r="C309" t="s">
        <v>76</v>
      </c>
      <c r="D309">
        <v>11</v>
      </c>
      <c r="E309">
        <v>280903.26</v>
      </c>
      <c r="F309">
        <v>3089935.86</v>
      </c>
      <c r="G309" s="1">
        <v>45244</v>
      </c>
      <c r="H309" t="s">
        <v>11</v>
      </c>
      <c r="I309" t="s">
        <v>636</v>
      </c>
    </row>
    <row r="310" spans="1:9" x14ac:dyDescent="0.25">
      <c r="A310" t="s">
        <v>637</v>
      </c>
      <c r="B310" t="s">
        <v>97</v>
      </c>
      <c r="C310" t="s">
        <v>19</v>
      </c>
      <c r="D310">
        <v>33</v>
      </c>
      <c r="E310">
        <v>266767.88</v>
      </c>
      <c r="F310">
        <v>8803340.0399999991</v>
      </c>
      <c r="G310" s="1">
        <v>45423</v>
      </c>
      <c r="H310" t="s">
        <v>30</v>
      </c>
    </row>
    <row r="311" spans="1:9" x14ac:dyDescent="0.25">
      <c r="A311" t="s">
        <v>638</v>
      </c>
      <c r="B311" t="s">
        <v>18</v>
      </c>
      <c r="C311" t="s">
        <v>25</v>
      </c>
      <c r="E311">
        <v>72579.56</v>
      </c>
      <c r="G311" s="1">
        <v>45596</v>
      </c>
      <c r="H311" t="s">
        <v>51</v>
      </c>
      <c r="I311" t="s">
        <v>639</v>
      </c>
    </row>
    <row r="312" spans="1:9" x14ac:dyDescent="0.25">
      <c r="A312" t="s">
        <v>640</v>
      </c>
      <c r="B312" t="s">
        <v>57</v>
      </c>
      <c r="C312" t="s">
        <v>76</v>
      </c>
      <c r="G312" s="1">
        <v>45692</v>
      </c>
      <c r="H312" t="s">
        <v>51</v>
      </c>
      <c r="I312" t="s">
        <v>641</v>
      </c>
    </row>
    <row r="313" spans="1:9" x14ac:dyDescent="0.25">
      <c r="A313" t="s">
        <v>642</v>
      </c>
      <c r="B313" t="s">
        <v>97</v>
      </c>
      <c r="C313" t="s">
        <v>98</v>
      </c>
      <c r="E313">
        <v>20653.63</v>
      </c>
      <c r="G313" s="1">
        <v>45772</v>
      </c>
      <c r="H313" t="s">
        <v>30</v>
      </c>
      <c r="I313" t="s">
        <v>643</v>
      </c>
    </row>
    <row r="314" spans="1:9" x14ac:dyDescent="0.25">
      <c r="B314" t="s">
        <v>22</v>
      </c>
      <c r="C314" t="s">
        <v>10</v>
      </c>
      <c r="E314">
        <v>178386.27</v>
      </c>
      <c r="G314" s="1">
        <v>45350</v>
      </c>
      <c r="I314" t="s">
        <v>644</v>
      </c>
    </row>
    <row r="315" spans="1:9" x14ac:dyDescent="0.25">
      <c r="A315" t="s">
        <v>645</v>
      </c>
      <c r="B315" t="s">
        <v>18</v>
      </c>
      <c r="C315" t="s">
        <v>50</v>
      </c>
      <c r="E315">
        <v>134209.1</v>
      </c>
      <c r="G315" s="1">
        <v>45579</v>
      </c>
      <c r="I315" t="s">
        <v>646</v>
      </c>
    </row>
    <row r="316" spans="1:9" x14ac:dyDescent="0.25">
      <c r="A316" t="s">
        <v>647</v>
      </c>
      <c r="B316" t="s">
        <v>115</v>
      </c>
      <c r="C316" t="s">
        <v>59</v>
      </c>
      <c r="D316">
        <v>16</v>
      </c>
      <c r="E316">
        <v>201771.08</v>
      </c>
      <c r="F316">
        <v>3228337.28</v>
      </c>
      <c r="G316" s="1">
        <v>45379</v>
      </c>
      <c r="H316" t="s">
        <v>30</v>
      </c>
      <c r="I316" t="s">
        <v>648</v>
      </c>
    </row>
    <row r="317" spans="1:9" x14ac:dyDescent="0.25">
      <c r="A317" t="s">
        <v>649</v>
      </c>
      <c r="B317" t="s">
        <v>241</v>
      </c>
      <c r="C317" t="s">
        <v>25</v>
      </c>
      <c r="E317">
        <v>261727.62</v>
      </c>
      <c r="G317" s="1">
        <v>45512</v>
      </c>
      <c r="H317" t="s">
        <v>30</v>
      </c>
      <c r="I317" t="s">
        <v>650</v>
      </c>
    </row>
    <row r="318" spans="1:9" x14ac:dyDescent="0.25">
      <c r="A318" t="s">
        <v>651</v>
      </c>
      <c r="B318" t="s">
        <v>143</v>
      </c>
      <c r="C318" t="s">
        <v>59</v>
      </c>
      <c r="E318">
        <v>73797.88</v>
      </c>
      <c r="G318" s="1">
        <v>45761</v>
      </c>
      <c r="H318" t="s">
        <v>30</v>
      </c>
      <c r="I318" t="s">
        <v>652</v>
      </c>
    </row>
    <row r="319" spans="1:9" x14ac:dyDescent="0.25">
      <c r="A319" t="s">
        <v>653</v>
      </c>
      <c r="B319" t="s">
        <v>83</v>
      </c>
      <c r="C319" t="s">
        <v>50</v>
      </c>
      <c r="D319">
        <v>59</v>
      </c>
      <c r="E319">
        <v>13748.9</v>
      </c>
      <c r="F319">
        <v>811185.1</v>
      </c>
      <c r="G319" s="1">
        <v>45513</v>
      </c>
      <c r="H319" t="s">
        <v>30</v>
      </c>
      <c r="I319" t="s">
        <v>654</v>
      </c>
    </row>
    <row r="320" spans="1:9" x14ac:dyDescent="0.25">
      <c r="A320" t="s">
        <v>655</v>
      </c>
      <c r="B320" t="s">
        <v>97</v>
      </c>
      <c r="C320" t="s">
        <v>76</v>
      </c>
      <c r="E320">
        <v>131969.35999999999</v>
      </c>
      <c r="G320" s="1">
        <v>45531</v>
      </c>
      <c r="H320" t="s">
        <v>30</v>
      </c>
      <c r="I320" t="s">
        <v>656</v>
      </c>
    </row>
    <row r="321" spans="1:9" x14ac:dyDescent="0.25">
      <c r="A321" t="s">
        <v>657</v>
      </c>
      <c r="B321" t="s">
        <v>39</v>
      </c>
      <c r="C321" t="s">
        <v>98</v>
      </c>
      <c r="E321">
        <v>162158.06</v>
      </c>
      <c r="G321" s="1">
        <v>45498</v>
      </c>
      <c r="H321" t="s">
        <v>30</v>
      </c>
      <c r="I321" t="s">
        <v>658</v>
      </c>
    </row>
    <row r="322" spans="1:9" x14ac:dyDescent="0.25">
      <c r="A322" t="s">
        <v>659</v>
      </c>
      <c r="B322" t="s">
        <v>13</v>
      </c>
      <c r="C322" t="s">
        <v>10</v>
      </c>
      <c r="G322" s="1">
        <v>45668</v>
      </c>
      <c r="H322" t="s">
        <v>51</v>
      </c>
      <c r="I322" t="s">
        <v>660</v>
      </c>
    </row>
    <row r="323" spans="1:9" x14ac:dyDescent="0.25">
      <c r="A323" t="s">
        <v>661</v>
      </c>
      <c r="B323" t="s">
        <v>83</v>
      </c>
      <c r="C323" t="s">
        <v>76</v>
      </c>
      <c r="E323">
        <v>226438.52</v>
      </c>
      <c r="G323" s="1">
        <v>45555</v>
      </c>
      <c r="H323" t="s">
        <v>11</v>
      </c>
      <c r="I323" t="s">
        <v>662</v>
      </c>
    </row>
    <row r="324" spans="1:9" x14ac:dyDescent="0.25">
      <c r="A324" t="s">
        <v>663</v>
      </c>
      <c r="B324" t="s">
        <v>66</v>
      </c>
      <c r="C324" t="s">
        <v>98</v>
      </c>
      <c r="E324">
        <v>232931.05</v>
      </c>
      <c r="G324" s="1">
        <v>45350</v>
      </c>
    </row>
    <row r="325" spans="1:9" x14ac:dyDescent="0.25">
      <c r="A325" t="s">
        <v>664</v>
      </c>
      <c r="B325" t="s">
        <v>87</v>
      </c>
      <c r="C325" t="s">
        <v>29</v>
      </c>
      <c r="E325">
        <v>42470.6</v>
      </c>
      <c r="G325" s="1">
        <v>45486</v>
      </c>
      <c r="H325" t="s">
        <v>11</v>
      </c>
      <c r="I325" t="s">
        <v>665</v>
      </c>
    </row>
    <row r="326" spans="1:9" x14ac:dyDescent="0.25">
      <c r="A326" t="s">
        <v>666</v>
      </c>
      <c r="B326" t="s">
        <v>9</v>
      </c>
      <c r="C326" t="s">
        <v>59</v>
      </c>
      <c r="D326">
        <v>55</v>
      </c>
      <c r="E326">
        <v>298048.28999999998</v>
      </c>
      <c r="F326">
        <v>16392655.949999999</v>
      </c>
      <c r="G326" s="1">
        <v>45751</v>
      </c>
      <c r="H326" t="s">
        <v>51</v>
      </c>
      <c r="I326" t="s">
        <v>667</v>
      </c>
    </row>
    <row r="327" spans="1:9" x14ac:dyDescent="0.25">
      <c r="B327" t="s">
        <v>39</v>
      </c>
      <c r="C327" t="s">
        <v>19</v>
      </c>
      <c r="E327">
        <v>70631.37</v>
      </c>
      <c r="G327" s="1">
        <v>45130</v>
      </c>
      <c r="H327" t="s">
        <v>15</v>
      </c>
      <c r="I327" t="s">
        <v>668</v>
      </c>
    </row>
    <row r="328" spans="1:9" x14ac:dyDescent="0.25">
      <c r="A328" t="s">
        <v>669</v>
      </c>
      <c r="B328" t="s">
        <v>36</v>
      </c>
      <c r="C328" t="s">
        <v>19</v>
      </c>
      <c r="E328">
        <v>274960.90999999997</v>
      </c>
      <c r="G328" s="1">
        <v>45404</v>
      </c>
      <c r="H328" t="s">
        <v>11</v>
      </c>
      <c r="I328" t="s">
        <v>670</v>
      </c>
    </row>
    <row r="329" spans="1:9" x14ac:dyDescent="0.25">
      <c r="A329" t="s">
        <v>671</v>
      </c>
      <c r="B329" t="s">
        <v>57</v>
      </c>
      <c r="C329" t="s">
        <v>98</v>
      </c>
      <c r="D329">
        <v>54</v>
      </c>
      <c r="E329">
        <v>173045.05</v>
      </c>
      <c r="F329">
        <v>9344432.6999999993</v>
      </c>
      <c r="G329" s="1">
        <v>45375</v>
      </c>
      <c r="H329" t="s">
        <v>15</v>
      </c>
      <c r="I329" t="s">
        <v>672</v>
      </c>
    </row>
    <row r="330" spans="1:9" x14ac:dyDescent="0.25">
      <c r="A330" t="s">
        <v>673</v>
      </c>
      <c r="B330" t="s">
        <v>62</v>
      </c>
      <c r="C330" t="s">
        <v>40</v>
      </c>
      <c r="E330">
        <v>173453.71</v>
      </c>
      <c r="G330" s="1">
        <v>45641</v>
      </c>
      <c r="H330" t="s">
        <v>51</v>
      </c>
      <c r="I330" t="s">
        <v>674</v>
      </c>
    </row>
    <row r="331" spans="1:9" x14ac:dyDescent="0.25">
      <c r="A331" t="s">
        <v>675</v>
      </c>
      <c r="B331" t="s">
        <v>18</v>
      </c>
      <c r="C331" t="s">
        <v>25</v>
      </c>
      <c r="E331">
        <v>231875.19</v>
      </c>
      <c r="G331" s="1">
        <v>45203</v>
      </c>
      <c r="I331" t="s">
        <v>676</v>
      </c>
    </row>
    <row r="332" spans="1:9" x14ac:dyDescent="0.25">
      <c r="A332" t="s">
        <v>677</v>
      </c>
      <c r="B332" t="s">
        <v>28</v>
      </c>
      <c r="C332" t="s">
        <v>14</v>
      </c>
      <c r="D332">
        <v>47</v>
      </c>
      <c r="G332" s="1">
        <v>45441</v>
      </c>
      <c r="H332" t="s">
        <v>15</v>
      </c>
      <c r="I332" t="s">
        <v>678</v>
      </c>
    </row>
    <row r="333" spans="1:9" x14ac:dyDescent="0.25">
      <c r="A333" t="s">
        <v>679</v>
      </c>
      <c r="B333" t="s">
        <v>119</v>
      </c>
      <c r="C333" t="s">
        <v>25</v>
      </c>
      <c r="E333">
        <v>245605.56</v>
      </c>
      <c r="G333" s="1">
        <v>45571</v>
      </c>
      <c r="H333" t="s">
        <v>51</v>
      </c>
      <c r="I333" t="s">
        <v>680</v>
      </c>
    </row>
    <row r="334" spans="1:9" x14ac:dyDescent="0.25">
      <c r="A334" t="s">
        <v>681</v>
      </c>
      <c r="B334" t="s">
        <v>39</v>
      </c>
      <c r="C334" t="s">
        <v>19</v>
      </c>
      <c r="E334">
        <v>71452.759999999995</v>
      </c>
      <c r="G334" s="1">
        <v>45356</v>
      </c>
      <c r="H334" t="s">
        <v>30</v>
      </c>
      <c r="I334" t="s">
        <v>682</v>
      </c>
    </row>
    <row r="335" spans="1:9" x14ac:dyDescent="0.25">
      <c r="A335" t="s">
        <v>683</v>
      </c>
      <c r="B335" t="s">
        <v>205</v>
      </c>
      <c r="C335" t="s">
        <v>19</v>
      </c>
      <c r="D335">
        <v>71</v>
      </c>
      <c r="E335">
        <v>262939.37</v>
      </c>
      <c r="F335">
        <v>18668695.27</v>
      </c>
      <c r="G335" s="1">
        <v>45736</v>
      </c>
      <c r="I335" t="s">
        <v>684</v>
      </c>
    </row>
    <row r="336" spans="1:9" x14ac:dyDescent="0.25">
      <c r="A336" t="s">
        <v>685</v>
      </c>
      <c r="B336" t="s">
        <v>119</v>
      </c>
      <c r="C336" t="s">
        <v>50</v>
      </c>
      <c r="E336">
        <v>295715.82</v>
      </c>
      <c r="G336" s="1">
        <v>45816</v>
      </c>
      <c r="H336" t="s">
        <v>30</v>
      </c>
      <c r="I336" t="s">
        <v>686</v>
      </c>
    </row>
    <row r="337" spans="1:9" x14ac:dyDescent="0.25">
      <c r="A337" t="s">
        <v>687</v>
      </c>
      <c r="B337" t="s">
        <v>143</v>
      </c>
      <c r="C337" t="s">
        <v>98</v>
      </c>
      <c r="E337">
        <v>156614.69</v>
      </c>
      <c r="G337" s="1">
        <v>45681</v>
      </c>
      <c r="I337" t="s">
        <v>688</v>
      </c>
    </row>
    <row r="338" spans="1:9" x14ac:dyDescent="0.25">
      <c r="A338" t="s">
        <v>689</v>
      </c>
      <c r="B338" t="s">
        <v>93</v>
      </c>
      <c r="C338" t="s">
        <v>40</v>
      </c>
      <c r="E338">
        <v>124361.28</v>
      </c>
      <c r="G338" s="1">
        <v>45795</v>
      </c>
    </row>
    <row r="339" spans="1:9" x14ac:dyDescent="0.25">
      <c r="A339" t="s">
        <v>690</v>
      </c>
      <c r="B339" t="s">
        <v>83</v>
      </c>
      <c r="C339" t="s">
        <v>14</v>
      </c>
      <c r="E339">
        <v>82908.600000000006</v>
      </c>
      <c r="G339" s="1">
        <v>45652</v>
      </c>
      <c r="H339" t="s">
        <v>11</v>
      </c>
      <c r="I339" t="s">
        <v>691</v>
      </c>
    </row>
    <row r="340" spans="1:9" x14ac:dyDescent="0.25">
      <c r="B340" t="s">
        <v>36</v>
      </c>
      <c r="C340" t="s">
        <v>25</v>
      </c>
      <c r="E340">
        <v>167237.07999999999</v>
      </c>
      <c r="G340" s="1">
        <v>45606</v>
      </c>
      <c r="I340" t="s">
        <v>692</v>
      </c>
    </row>
    <row r="341" spans="1:9" x14ac:dyDescent="0.25">
      <c r="A341" t="s">
        <v>693</v>
      </c>
      <c r="B341" t="s">
        <v>143</v>
      </c>
      <c r="C341" t="s">
        <v>98</v>
      </c>
      <c r="E341">
        <v>177704.3</v>
      </c>
      <c r="G341" s="1">
        <v>45138</v>
      </c>
      <c r="H341" t="s">
        <v>11</v>
      </c>
      <c r="I341" t="s">
        <v>694</v>
      </c>
    </row>
    <row r="342" spans="1:9" x14ac:dyDescent="0.25">
      <c r="A342" t="s">
        <v>695</v>
      </c>
      <c r="B342" t="s">
        <v>66</v>
      </c>
      <c r="C342" t="s">
        <v>76</v>
      </c>
      <c r="G342" s="1">
        <v>45581</v>
      </c>
      <c r="H342" t="s">
        <v>15</v>
      </c>
      <c r="I342" t="s">
        <v>696</v>
      </c>
    </row>
    <row r="343" spans="1:9" x14ac:dyDescent="0.25">
      <c r="A343" t="s">
        <v>697</v>
      </c>
      <c r="B343" t="s">
        <v>62</v>
      </c>
      <c r="C343" t="s">
        <v>50</v>
      </c>
      <c r="E343">
        <v>220696.03</v>
      </c>
      <c r="G343" s="1">
        <v>45486</v>
      </c>
      <c r="I343" t="s">
        <v>698</v>
      </c>
    </row>
    <row r="344" spans="1:9" x14ac:dyDescent="0.25">
      <c r="A344" t="s">
        <v>699</v>
      </c>
      <c r="B344" t="s">
        <v>69</v>
      </c>
      <c r="C344" t="s">
        <v>29</v>
      </c>
      <c r="E344">
        <v>52952.39</v>
      </c>
      <c r="G344" s="1">
        <v>45324</v>
      </c>
      <c r="H344" t="s">
        <v>15</v>
      </c>
      <c r="I344" t="s">
        <v>700</v>
      </c>
    </row>
    <row r="345" spans="1:9" x14ac:dyDescent="0.25">
      <c r="A345" t="s">
        <v>701</v>
      </c>
      <c r="B345" t="s">
        <v>36</v>
      </c>
      <c r="C345" t="s">
        <v>50</v>
      </c>
      <c r="E345">
        <v>203785.66</v>
      </c>
      <c r="G345" s="1">
        <v>45627</v>
      </c>
      <c r="I345" t="s">
        <v>702</v>
      </c>
    </row>
    <row r="346" spans="1:9" x14ac:dyDescent="0.25">
      <c r="A346" t="s">
        <v>703</v>
      </c>
      <c r="B346" t="s">
        <v>143</v>
      </c>
      <c r="C346" t="s">
        <v>10</v>
      </c>
      <c r="D346">
        <v>18</v>
      </c>
      <c r="E346">
        <v>166977.26999999999</v>
      </c>
      <c r="F346">
        <v>3005590.86</v>
      </c>
      <c r="G346" s="1">
        <v>45726</v>
      </c>
      <c r="H346" t="s">
        <v>11</v>
      </c>
      <c r="I346" t="s">
        <v>704</v>
      </c>
    </row>
    <row r="347" spans="1:9" x14ac:dyDescent="0.25">
      <c r="A347" t="s">
        <v>705</v>
      </c>
      <c r="B347" t="s">
        <v>33</v>
      </c>
      <c r="C347" t="s">
        <v>50</v>
      </c>
      <c r="E347">
        <v>14541.79</v>
      </c>
      <c r="G347" s="1">
        <v>45720</v>
      </c>
      <c r="H347" t="s">
        <v>30</v>
      </c>
      <c r="I347" t="s">
        <v>706</v>
      </c>
    </row>
    <row r="348" spans="1:9" x14ac:dyDescent="0.25">
      <c r="A348" t="s">
        <v>707</v>
      </c>
      <c r="B348" t="s">
        <v>28</v>
      </c>
      <c r="C348" t="s">
        <v>14</v>
      </c>
      <c r="E348">
        <v>103652.24</v>
      </c>
      <c r="G348" s="1">
        <v>45567</v>
      </c>
      <c r="I348" t="s">
        <v>708</v>
      </c>
    </row>
    <row r="349" spans="1:9" x14ac:dyDescent="0.25">
      <c r="A349" t="s">
        <v>709</v>
      </c>
      <c r="B349" t="s">
        <v>18</v>
      </c>
      <c r="C349" t="s">
        <v>19</v>
      </c>
      <c r="E349">
        <v>193173.16</v>
      </c>
      <c r="G349" s="1">
        <v>45566</v>
      </c>
      <c r="H349" t="s">
        <v>51</v>
      </c>
      <c r="I349" t="s">
        <v>710</v>
      </c>
    </row>
    <row r="350" spans="1:9" x14ac:dyDescent="0.25">
      <c r="A350" t="s">
        <v>711</v>
      </c>
      <c r="B350" t="s">
        <v>33</v>
      </c>
      <c r="C350" t="s">
        <v>25</v>
      </c>
      <c r="E350">
        <v>114655.81</v>
      </c>
      <c r="G350" s="1">
        <v>45294</v>
      </c>
      <c r="H350" t="s">
        <v>30</v>
      </c>
      <c r="I350" t="s">
        <v>712</v>
      </c>
    </row>
    <row r="351" spans="1:9" x14ac:dyDescent="0.25">
      <c r="A351" t="s">
        <v>713</v>
      </c>
      <c r="B351" t="s">
        <v>33</v>
      </c>
      <c r="C351" t="s">
        <v>25</v>
      </c>
      <c r="E351">
        <v>157576.69</v>
      </c>
      <c r="G351" s="1">
        <v>45678</v>
      </c>
      <c r="H351" t="s">
        <v>11</v>
      </c>
      <c r="I351" t="s">
        <v>714</v>
      </c>
    </row>
    <row r="352" spans="1:9" x14ac:dyDescent="0.25">
      <c r="A352" t="s">
        <v>715</v>
      </c>
      <c r="B352" t="s">
        <v>36</v>
      </c>
      <c r="C352" t="s">
        <v>76</v>
      </c>
      <c r="D352">
        <v>24</v>
      </c>
      <c r="G352" s="1">
        <v>45157</v>
      </c>
      <c r="H352" t="s">
        <v>51</v>
      </c>
    </row>
    <row r="353" spans="1:9" x14ac:dyDescent="0.25">
      <c r="B353" t="s">
        <v>241</v>
      </c>
      <c r="C353" t="s">
        <v>19</v>
      </c>
      <c r="E353">
        <v>209044.37</v>
      </c>
      <c r="G353" s="1">
        <v>45571</v>
      </c>
      <c r="H353" t="s">
        <v>15</v>
      </c>
      <c r="I353" t="s">
        <v>716</v>
      </c>
    </row>
    <row r="354" spans="1:9" x14ac:dyDescent="0.25">
      <c r="A354" t="s">
        <v>717</v>
      </c>
      <c r="B354" t="s">
        <v>18</v>
      </c>
      <c r="C354" t="s">
        <v>10</v>
      </c>
      <c r="E354">
        <v>122773.62</v>
      </c>
      <c r="G354" s="1">
        <v>45491</v>
      </c>
      <c r="H354" t="s">
        <v>11</v>
      </c>
      <c r="I354" t="s">
        <v>718</v>
      </c>
    </row>
    <row r="355" spans="1:9" x14ac:dyDescent="0.25">
      <c r="A355" t="s">
        <v>719</v>
      </c>
      <c r="B355" t="s">
        <v>143</v>
      </c>
      <c r="C355" t="s">
        <v>29</v>
      </c>
      <c r="E355">
        <v>90316.6</v>
      </c>
      <c r="G355" s="1">
        <v>45250</v>
      </c>
      <c r="H355" t="s">
        <v>30</v>
      </c>
      <c r="I355" t="s">
        <v>720</v>
      </c>
    </row>
    <row r="356" spans="1:9" x14ac:dyDescent="0.25">
      <c r="A356" t="s">
        <v>721</v>
      </c>
      <c r="B356" t="s">
        <v>66</v>
      </c>
      <c r="C356" t="s">
        <v>19</v>
      </c>
      <c r="D356">
        <v>26</v>
      </c>
      <c r="E356">
        <v>55571.75</v>
      </c>
      <c r="F356">
        <v>1444865.5</v>
      </c>
      <c r="G356" s="1">
        <v>45525</v>
      </c>
      <c r="H356" t="s">
        <v>15</v>
      </c>
      <c r="I356" t="s">
        <v>722</v>
      </c>
    </row>
    <row r="357" spans="1:9" x14ac:dyDescent="0.25">
      <c r="A357" t="s">
        <v>723</v>
      </c>
      <c r="B357" t="s">
        <v>57</v>
      </c>
      <c r="C357" t="s">
        <v>14</v>
      </c>
      <c r="D357">
        <v>26</v>
      </c>
      <c r="E357">
        <v>161609.51999999999</v>
      </c>
      <c r="F357">
        <v>4201847.5199999996</v>
      </c>
      <c r="G357" s="1">
        <v>45606</v>
      </c>
      <c r="H357" t="s">
        <v>15</v>
      </c>
      <c r="I357" t="s">
        <v>724</v>
      </c>
    </row>
    <row r="358" spans="1:9" x14ac:dyDescent="0.25">
      <c r="A358" t="s">
        <v>725</v>
      </c>
      <c r="B358" t="s">
        <v>97</v>
      </c>
      <c r="C358" t="s">
        <v>76</v>
      </c>
      <c r="E358">
        <v>72669.97</v>
      </c>
      <c r="G358" s="1">
        <v>45678</v>
      </c>
      <c r="H358" t="s">
        <v>11</v>
      </c>
      <c r="I358" t="s">
        <v>726</v>
      </c>
    </row>
    <row r="359" spans="1:9" x14ac:dyDescent="0.25">
      <c r="A359" t="s">
        <v>727</v>
      </c>
      <c r="B359" t="s">
        <v>57</v>
      </c>
      <c r="C359" t="s">
        <v>29</v>
      </c>
      <c r="E359">
        <v>67990.69</v>
      </c>
      <c r="G359" s="1">
        <v>45599</v>
      </c>
      <c r="H359" t="s">
        <v>30</v>
      </c>
      <c r="I359" t="s">
        <v>728</v>
      </c>
    </row>
    <row r="360" spans="1:9" x14ac:dyDescent="0.25">
      <c r="A360" t="s">
        <v>729</v>
      </c>
      <c r="B360" t="s">
        <v>18</v>
      </c>
      <c r="C360" t="s">
        <v>14</v>
      </c>
      <c r="E360">
        <v>257333.6</v>
      </c>
      <c r="G360" s="1">
        <v>45719</v>
      </c>
      <c r="H360" t="s">
        <v>11</v>
      </c>
      <c r="I360" t="s">
        <v>730</v>
      </c>
    </row>
    <row r="361" spans="1:9" x14ac:dyDescent="0.25">
      <c r="A361" t="s">
        <v>731</v>
      </c>
      <c r="B361" t="s">
        <v>62</v>
      </c>
      <c r="C361" t="s">
        <v>50</v>
      </c>
      <c r="D361">
        <v>33</v>
      </c>
      <c r="E361">
        <v>43733.35</v>
      </c>
      <c r="F361">
        <v>1443200.55</v>
      </c>
      <c r="G361" s="1">
        <v>45771</v>
      </c>
      <c r="H361" t="s">
        <v>51</v>
      </c>
      <c r="I361" t="s">
        <v>732</v>
      </c>
    </row>
    <row r="362" spans="1:9" x14ac:dyDescent="0.25">
      <c r="A362" t="s">
        <v>733</v>
      </c>
      <c r="B362" t="s">
        <v>465</v>
      </c>
      <c r="C362" t="s">
        <v>172</v>
      </c>
      <c r="G362" s="1">
        <v>45413</v>
      </c>
      <c r="H362" t="s">
        <v>51</v>
      </c>
      <c r="I362" t="s">
        <v>734</v>
      </c>
    </row>
    <row r="363" spans="1:9" x14ac:dyDescent="0.25">
      <c r="A363" t="s">
        <v>735</v>
      </c>
      <c r="B363" t="s">
        <v>18</v>
      </c>
      <c r="C363" t="s">
        <v>76</v>
      </c>
      <c r="E363">
        <v>139176.04</v>
      </c>
      <c r="G363" s="1">
        <v>45232</v>
      </c>
      <c r="I363" t="s">
        <v>736</v>
      </c>
    </row>
    <row r="364" spans="1:9" x14ac:dyDescent="0.25">
      <c r="A364" t="s">
        <v>737</v>
      </c>
      <c r="B364" t="s">
        <v>49</v>
      </c>
      <c r="C364" t="s">
        <v>59</v>
      </c>
      <c r="D364">
        <v>46</v>
      </c>
      <c r="E364">
        <v>17758.37</v>
      </c>
      <c r="F364">
        <v>816885.02</v>
      </c>
      <c r="G364" s="1">
        <v>45756</v>
      </c>
      <c r="H364" t="s">
        <v>15</v>
      </c>
      <c r="I364" t="s">
        <v>738</v>
      </c>
    </row>
    <row r="365" spans="1:9" x14ac:dyDescent="0.25">
      <c r="A365" t="s">
        <v>739</v>
      </c>
      <c r="B365" t="s">
        <v>39</v>
      </c>
      <c r="C365" t="s">
        <v>25</v>
      </c>
      <c r="E365">
        <v>124096.91</v>
      </c>
      <c r="G365" s="1">
        <v>45646</v>
      </c>
      <c r="I365" t="s">
        <v>740</v>
      </c>
    </row>
    <row r="366" spans="1:9" x14ac:dyDescent="0.25">
      <c r="B366" t="s">
        <v>46</v>
      </c>
      <c r="C366" t="s">
        <v>98</v>
      </c>
      <c r="D366">
        <v>35</v>
      </c>
      <c r="E366">
        <v>125244.11</v>
      </c>
      <c r="F366">
        <v>4383543.8499999996</v>
      </c>
      <c r="G366" s="1">
        <v>45306</v>
      </c>
      <c r="H366" t="s">
        <v>30</v>
      </c>
    </row>
    <row r="367" spans="1:9" x14ac:dyDescent="0.25">
      <c r="A367" t="s">
        <v>741</v>
      </c>
      <c r="B367" t="s">
        <v>18</v>
      </c>
      <c r="C367" t="s">
        <v>25</v>
      </c>
      <c r="E367">
        <v>159232.54999999999</v>
      </c>
      <c r="G367" s="1">
        <v>45142</v>
      </c>
      <c r="H367" t="s">
        <v>51</v>
      </c>
      <c r="I367" t="s">
        <v>742</v>
      </c>
    </row>
    <row r="368" spans="1:9" x14ac:dyDescent="0.25">
      <c r="A368" t="s">
        <v>743</v>
      </c>
      <c r="B368" t="s">
        <v>49</v>
      </c>
      <c r="C368" t="s">
        <v>25</v>
      </c>
      <c r="E368">
        <v>116831.51</v>
      </c>
      <c r="G368" s="1">
        <v>45562</v>
      </c>
      <c r="I368" t="s">
        <v>744</v>
      </c>
    </row>
    <row r="369" spans="1:9" x14ac:dyDescent="0.25">
      <c r="A369" t="s">
        <v>745</v>
      </c>
      <c r="B369" t="s">
        <v>13</v>
      </c>
      <c r="C369" t="s">
        <v>19</v>
      </c>
      <c r="E369">
        <v>76871.199999999997</v>
      </c>
      <c r="G369" s="1">
        <v>45662</v>
      </c>
      <c r="H369" t="s">
        <v>51</v>
      </c>
      <c r="I369" t="s">
        <v>746</v>
      </c>
    </row>
    <row r="370" spans="1:9" x14ac:dyDescent="0.25">
      <c r="A370" t="s">
        <v>747</v>
      </c>
      <c r="B370" t="s">
        <v>97</v>
      </c>
      <c r="C370" t="s">
        <v>235</v>
      </c>
      <c r="D370">
        <v>44</v>
      </c>
      <c r="E370">
        <v>99413.77</v>
      </c>
      <c r="F370">
        <v>4374205.88</v>
      </c>
      <c r="G370" s="1">
        <v>45203</v>
      </c>
      <c r="H370" t="s">
        <v>51</v>
      </c>
      <c r="I370" t="s">
        <v>748</v>
      </c>
    </row>
    <row r="371" spans="1:9" x14ac:dyDescent="0.25">
      <c r="A371" t="s">
        <v>749</v>
      </c>
      <c r="B371" t="s">
        <v>241</v>
      </c>
      <c r="C371" t="s">
        <v>19</v>
      </c>
      <c r="E371">
        <v>24181.59</v>
      </c>
      <c r="G371" s="1">
        <v>45266</v>
      </c>
      <c r="H371" t="s">
        <v>51</v>
      </c>
      <c r="I371" t="s">
        <v>750</v>
      </c>
    </row>
    <row r="372" spans="1:9" x14ac:dyDescent="0.25">
      <c r="A372" t="s">
        <v>751</v>
      </c>
      <c r="B372" t="s">
        <v>18</v>
      </c>
      <c r="C372" t="s">
        <v>19</v>
      </c>
      <c r="G372" s="1">
        <v>45132</v>
      </c>
      <c r="H372" t="s">
        <v>11</v>
      </c>
      <c r="I372" t="s">
        <v>752</v>
      </c>
    </row>
    <row r="373" spans="1:9" x14ac:dyDescent="0.25">
      <c r="A373" t="s">
        <v>753</v>
      </c>
      <c r="B373" t="s">
        <v>93</v>
      </c>
      <c r="C373" t="s">
        <v>59</v>
      </c>
      <c r="E373">
        <v>135211.15</v>
      </c>
      <c r="G373" s="1">
        <v>45460</v>
      </c>
      <c r="I373" t="s">
        <v>754</v>
      </c>
    </row>
    <row r="374" spans="1:9" x14ac:dyDescent="0.25">
      <c r="A374" t="s">
        <v>755</v>
      </c>
      <c r="B374" t="s">
        <v>83</v>
      </c>
      <c r="C374" t="s">
        <v>59</v>
      </c>
      <c r="E374">
        <v>111637.71</v>
      </c>
      <c r="G374" s="1">
        <v>45361</v>
      </c>
      <c r="H374" t="s">
        <v>15</v>
      </c>
      <c r="I374" t="s">
        <v>756</v>
      </c>
    </row>
    <row r="375" spans="1:9" x14ac:dyDescent="0.25">
      <c r="A375" t="s">
        <v>757</v>
      </c>
      <c r="B375" t="s">
        <v>36</v>
      </c>
      <c r="C375" t="s">
        <v>76</v>
      </c>
      <c r="D375">
        <v>55</v>
      </c>
      <c r="E375">
        <v>160922.84</v>
      </c>
      <c r="F375">
        <v>8850756.1999999993</v>
      </c>
      <c r="G375" s="1">
        <v>45443</v>
      </c>
      <c r="I375" t="s">
        <v>758</v>
      </c>
    </row>
    <row r="376" spans="1:9" x14ac:dyDescent="0.25">
      <c r="A376" t="s">
        <v>759</v>
      </c>
      <c r="B376" t="s">
        <v>46</v>
      </c>
      <c r="C376" t="s">
        <v>19</v>
      </c>
      <c r="E376">
        <v>248907.18</v>
      </c>
      <c r="G376" s="1">
        <v>45235</v>
      </c>
      <c r="H376" t="s">
        <v>15</v>
      </c>
      <c r="I376" t="s">
        <v>760</v>
      </c>
    </row>
    <row r="377" spans="1:9" x14ac:dyDescent="0.25">
      <c r="A377" t="s">
        <v>761</v>
      </c>
      <c r="B377" t="s">
        <v>36</v>
      </c>
      <c r="C377" t="s">
        <v>59</v>
      </c>
      <c r="E377">
        <v>15935.22</v>
      </c>
      <c r="G377" s="1">
        <v>45438</v>
      </c>
      <c r="I377" t="s">
        <v>762</v>
      </c>
    </row>
    <row r="378" spans="1:9" x14ac:dyDescent="0.25">
      <c r="A378" t="s">
        <v>763</v>
      </c>
      <c r="B378" t="s">
        <v>13</v>
      </c>
      <c r="C378" t="s">
        <v>40</v>
      </c>
      <c r="E378">
        <v>113461.81</v>
      </c>
      <c r="G378" s="1">
        <v>45654</v>
      </c>
      <c r="I378" t="s">
        <v>764</v>
      </c>
    </row>
    <row r="379" spans="1:9" x14ac:dyDescent="0.25">
      <c r="B379" t="s">
        <v>33</v>
      </c>
      <c r="C379" t="s">
        <v>29</v>
      </c>
      <c r="D379">
        <v>14</v>
      </c>
      <c r="E379">
        <v>181688.35</v>
      </c>
      <c r="F379">
        <v>2543636.9</v>
      </c>
      <c r="G379" s="1">
        <v>45276</v>
      </c>
      <c r="H379" t="s">
        <v>51</v>
      </c>
      <c r="I379" t="s">
        <v>765</v>
      </c>
    </row>
    <row r="380" spans="1:9" x14ac:dyDescent="0.25">
      <c r="A380" t="s">
        <v>766</v>
      </c>
      <c r="B380" t="s">
        <v>112</v>
      </c>
      <c r="C380" t="s">
        <v>76</v>
      </c>
      <c r="E380">
        <v>12344.49</v>
      </c>
      <c r="G380" s="1">
        <v>45436</v>
      </c>
      <c r="H380" t="s">
        <v>15</v>
      </c>
    </row>
    <row r="381" spans="1:9" x14ac:dyDescent="0.25">
      <c r="A381" t="s">
        <v>767</v>
      </c>
      <c r="B381" t="s">
        <v>28</v>
      </c>
      <c r="C381" t="s">
        <v>29</v>
      </c>
      <c r="E381">
        <v>22298.91</v>
      </c>
      <c r="G381" s="1">
        <v>45507</v>
      </c>
      <c r="H381" t="s">
        <v>15</v>
      </c>
      <c r="I381" t="s">
        <v>768</v>
      </c>
    </row>
    <row r="382" spans="1:9" x14ac:dyDescent="0.25">
      <c r="A382" t="s">
        <v>769</v>
      </c>
      <c r="B382" t="s">
        <v>36</v>
      </c>
      <c r="C382" t="s">
        <v>76</v>
      </c>
      <c r="G382" s="1">
        <v>45719</v>
      </c>
      <c r="H382" t="s">
        <v>15</v>
      </c>
      <c r="I382" t="s">
        <v>770</v>
      </c>
    </row>
    <row r="383" spans="1:9" x14ac:dyDescent="0.25">
      <c r="A383" t="s">
        <v>771</v>
      </c>
      <c r="B383" t="s">
        <v>49</v>
      </c>
      <c r="C383" t="s">
        <v>98</v>
      </c>
      <c r="E383">
        <v>241492.86</v>
      </c>
      <c r="G383" s="1">
        <v>45592</v>
      </c>
      <c r="I383" t="s">
        <v>772</v>
      </c>
    </row>
    <row r="384" spans="1:9" x14ac:dyDescent="0.25">
      <c r="A384" t="s">
        <v>773</v>
      </c>
      <c r="B384" t="s">
        <v>119</v>
      </c>
      <c r="C384" t="s">
        <v>59</v>
      </c>
      <c r="E384">
        <v>176481.31</v>
      </c>
      <c r="G384" s="1">
        <v>45832</v>
      </c>
      <c r="H384" t="s">
        <v>15</v>
      </c>
      <c r="I384" t="s">
        <v>774</v>
      </c>
    </row>
    <row r="385" spans="1:9" x14ac:dyDescent="0.25">
      <c r="A385" t="s">
        <v>775</v>
      </c>
      <c r="B385" t="s">
        <v>87</v>
      </c>
      <c r="C385" t="s">
        <v>19</v>
      </c>
      <c r="E385">
        <v>201599.43</v>
      </c>
      <c r="G385" s="1">
        <v>45484</v>
      </c>
      <c r="I385" t="s">
        <v>776</v>
      </c>
    </row>
    <row r="386" spans="1:9" x14ac:dyDescent="0.25">
      <c r="A386" t="s">
        <v>777</v>
      </c>
      <c r="B386" t="s">
        <v>36</v>
      </c>
      <c r="C386" t="s">
        <v>103</v>
      </c>
      <c r="D386">
        <v>58</v>
      </c>
      <c r="E386">
        <v>65496.45</v>
      </c>
      <c r="F386">
        <v>3798794.1</v>
      </c>
      <c r="G386" s="1">
        <v>45795</v>
      </c>
      <c r="H386" t="s">
        <v>11</v>
      </c>
      <c r="I386" t="s">
        <v>778</v>
      </c>
    </row>
    <row r="387" spans="1:9" x14ac:dyDescent="0.25">
      <c r="A387" t="s">
        <v>779</v>
      </c>
      <c r="B387" t="s">
        <v>28</v>
      </c>
      <c r="C387" t="s">
        <v>76</v>
      </c>
      <c r="E387">
        <v>63062.28</v>
      </c>
      <c r="G387" s="1">
        <v>45776</v>
      </c>
      <c r="H387" t="s">
        <v>51</v>
      </c>
      <c r="I387" t="s">
        <v>780</v>
      </c>
    </row>
    <row r="388" spans="1:9" x14ac:dyDescent="0.25">
      <c r="A388" t="s">
        <v>781</v>
      </c>
      <c r="B388" t="s">
        <v>46</v>
      </c>
      <c r="C388" t="s">
        <v>14</v>
      </c>
      <c r="E388">
        <v>272156.33</v>
      </c>
      <c r="G388" s="1">
        <v>45689</v>
      </c>
      <c r="H388" t="s">
        <v>30</v>
      </c>
      <c r="I388" t="s">
        <v>782</v>
      </c>
    </row>
    <row r="389" spans="1:9" x14ac:dyDescent="0.25">
      <c r="A389" t="s">
        <v>783</v>
      </c>
      <c r="B389" t="s">
        <v>241</v>
      </c>
      <c r="C389" t="s">
        <v>19</v>
      </c>
      <c r="E389">
        <v>91304.81</v>
      </c>
      <c r="G389" s="1">
        <v>45682</v>
      </c>
      <c r="H389" t="s">
        <v>11</v>
      </c>
      <c r="I389" t="s">
        <v>784</v>
      </c>
    </row>
    <row r="390" spans="1:9" x14ac:dyDescent="0.25">
      <c r="A390" t="s">
        <v>785</v>
      </c>
      <c r="B390" t="s">
        <v>49</v>
      </c>
      <c r="C390" t="s">
        <v>98</v>
      </c>
      <c r="D390">
        <v>8</v>
      </c>
      <c r="E390">
        <v>272743.75</v>
      </c>
      <c r="F390">
        <v>2181950</v>
      </c>
      <c r="G390" s="1">
        <v>45166</v>
      </c>
      <c r="H390" t="s">
        <v>15</v>
      </c>
      <c r="I390" t="s">
        <v>786</v>
      </c>
    </row>
    <row r="391" spans="1:9" x14ac:dyDescent="0.25">
      <c r="A391" t="s">
        <v>787</v>
      </c>
      <c r="B391" t="s">
        <v>143</v>
      </c>
      <c r="C391" t="s">
        <v>14</v>
      </c>
      <c r="E391">
        <v>63936.43</v>
      </c>
      <c r="G391" s="1">
        <v>45666</v>
      </c>
      <c r="H391" t="s">
        <v>51</v>
      </c>
      <c r="I391" t="s">
        <v>788</v>
      </c>
    </row>
    <row r="392" spans="1:9" x14ac:dyDescent="0.25">
      <c r="B392" t="s">
        <v>119</v>
      </c>
      <c r="C392" t="s">
        <v>59</v>
      </c>
      <c r="G392" s="1">
        <v>45225</v>
      </c>
      <c r="H392" t="s">
        <v>51</v>
      </c>
      <c r="I392" t="s">
        <v>789</v>
      </c>
    </row>
    <row r="393" spans="1:9" x14ac:dyDescent="0.25">
      <c r="A393" t="s">
        <v>790</v>
      </c>
      <c r="B393" t="s">
        <v>49</v>
      </c>
      <c r="C393" t="s">
        <v>50</v>
      </c>
      <c r="E393">
        <v>57412.1</v>
      </c>
      <c r="G393" s="1">
        <v>45520</v>
      </c>
      <c r="H393" t="s">
        <v>51</v>
      </c>
      <c r="I393" t="s">
        <v>791</v>
      </c>
    </row>
    <row r="394" spans="1:9" x14ac:dyDescent="0.25">
      <c r="A394" t="s">
        <v>792</v>
      </c>
      <c r="B394" t="s">
        <v>119</v>
      </c>
      <c r="C394" t="s">
        <v>10</v>
      </c>
      <c r="D394">
        <v>87</v>
      </c>
      <c r="E394">
        <v>222571.82</v>
      </c>
      <c r="F394">
        <v>19363748.34</v>
      </c>
      <c r="G394" s="1">
        <v>45279</v>
      </c>
      <c r="H394" t="s">
        <v>51</v>
      </c>
    </row>
    <row r="395" spans="1:9" x14ac:dyDescent="0.25">
      <c r="A395" t="s">
        <v>793</v>
      </c>
      <c r="B395" t="s">
        <v>57</v>
      </c>
      <c r="C395" t="s">
        <v>50</v>
      </c>
      <c r="D395">
        <v>4</v>
      </c>
      <c r="E395">
        <v>224190.33</v>
      </c>
      <c r="F395">
        <v>896761.32</v>
      </c>
      <c r="G395" s="1">
        <v>45553</v>
      </c>
      <c r="H395" t="s">
        <v>15</v>
      </c>
      <c r="I395" t="s">
        <v>794</v>
      </c>
    </row>
    <row r="396" spans="1:9" x14ac:dyDescent="0.25">
      <c r="A396" t="s">
        <v>795</v>
      </c>
      <c r="B396" t="s">
        <v>22</v>
      </c>
      <c r="C396" t="s">
        <v>19</v>
      </c>
      <c r="E396">
        <v>226422.06</v>
      </c>
      <c r="G396" s="1">
        <v>45370</v>
      </c>
      <c r="H396" t="s">
        <v>51</v>
      </c>
      <c r="I396" t="s">
        <v>796</v>
      </c>
    </row>
    <row r="397" spans="1:9" x14ac:dyDescent="0.25">
      <c r="A397" t="s">
        <v>797</v>
      </c>
      <c r="B397" t="s">
        <v>33</v>
      </c>
      <c r="C397" t="s">
        <v>98</v>
      </c>
      <c r="D397">
        <v>57</v>
      </c>
      <c r="E397">
        <v>274375.17</v>
      </c>
      <c r="F397">
        <v>15639384.689999999</v>
      </c>
      <c r="G397" s="1">
        <v>45632</v>
      </c>
      <c r="H397" t="s">
        <v>30</v>
      </c>
      <c r="I397" t="s">
        <v>798</v>
      </c>
    </row>
    <row r="398" spans="1:9" x14ac:dyDescent="0.25">
      <c r="A398" t="s">
        <v>799</v>
      </c>
      <c r="B398" t="s">
        <v>259</v>
      </c>
      <c r="C398" t="s">
        <v>14</v>
      </c>
      <c r="D398">
        <v>17</v>
      </c>
      <c r="E398">
        <v>208840.07</v>
      </c>
      <c r="F398">
        <v>3550281.19</v>
      </c>
      <c r="G398" s="1">
        <v>45489</v>
      </c>
      <c r="H398" t="s">
        <v>30</v>
      </c>
      <c r="I398" t="s">
        <v>800</v>
      </c>
    </row>
    <row r="399" spans="1:9" x14ac:dyDescent="0.25">
      <c r="A399" t="s">
        <v>801</v>
      </c>
      <c r="B399" t="s">
        <v>36</v>
      </c>
      <c r="C399" t="s">
        <v>76</v>
      </c>
      <c r="E399">
        <v>211278.69</v>
      </c>
      <c r="G399" s="1">
        <v>45526</v>
      </c>
      <c r="H399" t="s">
        <v>51</v>
      </c>
      <c r="I399" t="s">
        <v>802</v>
      </c>
    </row>
    <row r="400" spans="1:9" x14ac:dyDescent="0.25">
      <c r="A400" t="s">
        <v>803</v>
      </c>
      <c r="B400" t="s">
        <v>46</v>
      </c>
      <c r="C400" t="s">
        <v>14</v>
      </c>
      <c r="E400">
        <v>119291.3</v>
      </c>
      <c r="G400" s="1">
        <v>45410</v>
      </c>
      <c r="I400" t="s">
        <v>804</v>
      </c>
    </row>
    <row r="401" spans="1:9" x14ac:dyDescent="0.25">
      <c r="A401" t="s">
        <v>805</v>
      </c>
      <c r="B401" t="s">
        <v>66</v>
      </c>
      <c r="C401" t="s">
        <v>50</v>
      </c>
      <c r="E401">
        <v>72179.62</v>
      </c>
      <c r="G401" s="1">
        <v>45361</v>
      </c>
      <c r="H401" t="s">
        <v>15</v>
      </c>
      <c r="I401" t="s">
        <v>806</v>
      </c>
    </row>
    <row r="402" spans="1:9" x14ac:dyDescent="0.25">
      <c r="A402" t="s">
        <v>807</v>
      </c>
      <c r="B402" t="s">
        <v>28</v>
      </c>
      <c r="C402" t="s">
        <v>10</v>
      </c>
      <c r="G402" s="1">
        <v>45252</v>
      </c>
      <c r="H402" t="s">
        <v>30</v>
      </c>
      <c r="I402" s="2" t="s">
        <v>808</v>
      </c>
    </row>
    <row r="403" spans="1:9" x14ac:dyDescent="0.25">
      <c r="A403" t="s">
        <v>809</v>
      </c>
      <c r="B403" t="s">
        <v>22</v>
      </c>
      <c r="C403" t="s">
        <v>25</v>
      </c>
      <c r="E403">
        <v>96823.7</v>
      </c>
      <c r="G403" s="1">
        <v>45475</v>
      </c>
      <c r="H403" t="s">
        <v>30</v>
      </c>
      <c r="I403" t="s">
        <v>810</v>
      </c>
    </row>
    <row r="404" spans="1:9" x14ac:dyDescent="0.25">
      <c r="A404" t="s">
        <v>811</v>
      </c>
      <c r="B404" t="s">
        <v>93</v>
      </c>
      <c r="C404" t="s">
        <v>59</v>
      </c>
      <c r="E404">
        <v>85276.23</v>
      </c>
      <c r="G404" s="1">
        <v>45826</v>
      </c>
      <c r="H404" t="s">
        <v>30</v>
      </c>
      <c r="I404" t="s">
        <v>812</v>
      </c>
    </row>
    <row r="405" spans="1:9" x14ac:dyDescent="0.25">
      <c r="B405" t="s">
        <v>93</v>
      </c>
      <c r="C405" t="s">
        <v>76</v>
      </c>
      <c r="E405">
        <v>140142.01</v>
      </c>
      <c r="G405" s="1">
        <v>45532</v>
      </c>
      <c r="H405" t="s">
        <v>11</v>
      </c>
      <c r="I405" t="s">
        <v>813</v>
      </c>
    </row>
    <row r="406" spans="1:9" x14ac:dyDescent="0.25">
      <c r="A406" t="s">
        <v>814</v>
      </c>
      <c r="B406" t="s">
        <v>46</v>
      </c>
      <c r="C406" t="s">
        <v>50</v>
      </c>
      <c r="D406">
        <v>98</v>
      </c>
      <c r="E406">
        <v>194792.04</v>
      </c>
      <c r="F406">
        <v>19089619.920000002</v>
      </c>
      <c r="G406" s="1">
        <v>45383</v>
      </c>
      <c r="H406" t="s">
        <v>11</v>
      </c>
      <c r="I406" t="s">
        <v>815</v>
      </c>
    </row>
    <row r="407" spans="1:9" x14ac:dyDescent="0.25">
      <c r="A407" t="s">
        <v>816</v>
      </c>
      <c r="B407" t="s">
        <v>69</v>
      </c>
      <c r="C407" t="s">
        <v>59</v>
      </c>
      <c r="D407">
        <v>74</v>
      </c>
      <c r="E407">
        <v>92872.47</v>
      </c>
      <c r="F407">
        <v>6872562.7800000003</v>
      </c>
      <c r="G407" s="1">
        <v>45542</v>
      </c>
      <c r="H407" t="s">
        <v>30</v>
      </c>
      <c r="I407" t="s">
        <v>817</v>
      </c>
    </row>
    <row r="408" spans="1:9" x14ac:dyDescent="0.25">
      <c r="A408" t="s">
        <v>818</v>
      </c>
      <c r="B408" t="s">
        <v>93</v>
      </c>
      <c r="C408" t="s">
        <v>76</v>
      </c>
      <c r="E408">
        <v>108213.56</v>
      </c>
      <c r="G408" s="1">
        <v>45393</v>
      </c>
    </row>
    <row r="409" spans="1:9" x14ac:dyDescent="0.25">
      <c r="A409" t="s">
        <v>819</v>
      </c>
      <c r="B409" t="s">
        <v>97</v>
      </c>
      <c r="C409" t="s">
        <v>59</v>
      </c>
      <c r="E409">
        <v>264902.18</v>
      </c>
      <c r="G409" s="1">
        <v>45642</v>
      </c>
      <c r="H409" t="s">
        <v>15</v>
      </c>
      <c r="I409" t="s">
        <v>820</v>
      </c>
    </row>
    <row r="410" spans="1:9" x14ac:dyDescent="0.25">
      <c r="A410" t="s">
        <v>821</v>
      </c>
      <c r="B410" t="s">
        <v>46</v>
      </c>
      <c r="C410" t="s">
        <v>10</v>
      </c>
      <c r="E410">
        <v>140068.22</v>
      </c>
      <c r="G410" s="1">
        <v>45717</v>
      </c>
      <c r="H410" t="s">
        <v>15</v>
      </c>
      <c r="I410" t="s">
        <v>822</v>
      </c>
    </row>
    <row r="411" spans="1:9" x14ac:dyDescent="0.25">
      <c r="A411" t="s">
        <v>823</v>
      </c>
      <c r="B411" t="s">
        <v>22</v>
      </c>
      <c r="C411" t="s">
        <v>98</v>
      </c>
      <c r="D411">
        <v>32</v>
      </c>
      <c r="E411">
        <v>240943.58</v>
      </c>
      <c r="F411">
        <v>7710194.5599999996</v>
      </c>
      <c r="G411" s="1">
        <v>45791</v>
      </c>
      <c r="H411" t="s">
        <v>30</v>
      </c>
      <c r="I411" t="s">
        <v>824</v>
      </c>
    </row>
    <row r="412" spans="1:9" x14ac:dyDescent="0.25">
      <c r="A412" t="s">
        <v>825</v>
      </c>
      <c r="B412" t="s">
        <v>18</v>
      </c>
      <c r="C412" t="s">
        <v>50</v>
      </c>
      <c r="G412" s="1">
        <v>45677</v>
      </c>
      <c r="H412" t="s">
        <v>30</v>
      </c>
      <c r="I412" t="s">
        <v>826</v>
      </c>
    </row>
    <row r="413" spans="1:9" x14ac:dyDescent="0.25">
      <c r="A413" t="s">
        <v>827</v>
      </c>
      <c r="B413" t="s">
        <v>93</v>
      </c>
      <c r="C413" t="s">
        <v>29</v>
      </c>
      <c r="E413">
        <v>216862.87</v>
      </c>
      <c r="G413" s="1">
        <v>45646</v>
      </c>
      <c r="H413" t="s">
        <v>15</v>
      </c>
      <c r="I413" t="s">
        <v>828</v>
      </c>
    </row>
    <row r="414" spans="1:9" x14ac:dyDescent="0.25">
      <c r="A414" t="s">
        <v>829</v>
      </c>
      <c r="B414" t="s">
        <v>33</v>
      </c>
      <c r="C414" t="s">
        <v>25</v>
      </c>
      <c r="E414">
        <v>228607.88</v>
      </c>
      <c r="G414" s="1">
        <v>45617</v>
      </c>
      <c r="I414" t="s">
        <v>830</v>
      </c>
    </row>
    <row r="415" spans="1:9" x14ac:dyDescent="0.25">
      <c r="A415" t="s">
        <v>831</v>
      </c>
      <c r="B415" t="s">
        <v>115</v>
      </c>
      <c r="C415" t="s">
        <v>29</v>
      </c>
      <c r="D415">
        <v>72</v>
      </c>
      <c r="E415">
        <v>96409.87</v>
      </c>
      <c r="F415">
        <v>6941510.6399999997</v>
      </c>
      <c r="G415" s="1">
        <v>45742</v>
      </c>
      <c r="H415" t="s">
        <v>11</v>
      </c>
      <c r="I415" t="s">
        <v>832</v>
      </c>
    </row>
    <row r="416" spans="1:9" x14ac:dyDescent="0.25">
      <c r="A416" t="s">
        <v>833</v>
      </c>
      <c r="B416" t="s">
        <v>363</v>
      </c>
      <c r="C416" t="s">
        <v>50</v>
      </c>
      <c r="E416">
        <v>61336.68</v>
      </c>
      <c r="G416" s="1">
        <v>45656</v>
      </c>
      <c r="H416" t="s">
        <v>11</v>
      </c>
      <c r="I416" t="s">
        <v>834</v>
      </c>
    </row>
    <row r="417" spans="1:9" x14ac:dyDescent="0.25">
      <c r="A417" t="s">
        <v>835</v>
      </c>
      <c r="B417" t="s">
        <v>230</v>
      </c>
      <c r="C417" t="s">
        <v>76</v>
      </c>
      <c r="E417">
        <v>94220.14</v>
      </c>
      <c r="G417" s="1">
        <v>45323</v>
      </c>
      <c r="H417" t="s">
        <v>30</v>
      </c>
      <c r="I417" t="s">
        <v>836</v>
      </c>
    </row>
    <row r="418" spans="1:9" x14ac:dyDescent="0.25">
      <c r="B418" t="s">
        <v>22</v>
      </c>
      <c r="C418" t="s">
        <v>84</v>
      </c>
      <c r="E418">
        <v>14191.78</v>
      </c>
      <c r="G418" s="1">
        <v>45591</v>
      </c>
      <c r="H418" t="s">
        <v>15</v>
      </c>
      <c r="I418" t="s">
        <v>837</v>
      </c>
    </row>
    <row r="419" spans="1:9" x14ac:dyDescent="0.25">
      <c r="A419" t="s">
        <v>838</v>
      </c>
      <c r="B419" t="s">
        <v>57</v>
      </c>
      <c r="C419" t="s">
        <v>50</v>
      </c>
      <c r="E419">
        <v>259293.41</v>
      </c>
      <c r="G419" s="1">
        <v>45494</v>
      </c>
      <c r="H419" t="s">
        <v>11</v>
      </c>
      <c r="I419" t="s">
        <v>839</v>
      </c>
    </row>
    <row r="420" spans="1:9" x14ac:dyDescent="0.25">
      <c r="A420" t="s">
        <v>840</v>
      </c>
      <c r="B420" t="s">
        <v>83</v>
      </c>
      <c r="C420" t="s">
        <v>19</v>
      </c>
      <c r="D420">
        <v>63</v>
      </c>
      <c r="E420">
        <v>222505.09</v>
      </c>
      <c r="F420">
        <v>14017820.67</v>
      </c>
      <c r="G420" s="1">
        <v>45267</v>
      </c>
      <c r="I420" t="s">
        <v>841</v>
      </c>
    </row>
    <row r="421" spans="1:9" x14ac:dyDescent="0.25">
      <c r="A421" t="s">
        <v>842</v>
      </c>
      <c r="B421" t="s">
        <v>119</v>
      </c>
      <c r="C421" t="s">
        <v>14</v>
      </c>
      <c r="D421">
        <v>16</v>
      </c>
      <c r="E421">
        <v>5357.86</v>
      </c>
      <c r="F421">
        <v>85725.759999999995</v>
      </c>
      <c r="G421" s="1">
        <v>45309</v>
      </c>
      <c r="H421" t="s">
        <v>30</v>
      </c>
      <c r="I421" t="s">
        <v>843</v>
      </c>
    </row>
    <row r="422" spans="1:9" x14ac:dyDescent="0.25">
      <c r="A422" t="s">
        <v>844</v>
      </c>
      <c r="B422" t="s">
        <v>143</v>
      </c>
      <c r="C422" t="s">
        <v>25</v>
      </c>
      <c r="G422" s="1">
        <v>45334</v>
      </c>
      <c r="H422" t="s">
        <v>51</v>
      </c>
    </row>
    <row r="423" spans="1:9" x14ac:dyDescent="0.25">
      <c r="A423" t="s">
        <v>845</v>
      </c>
      <c r="B423" t="s">
        <v>22</v>
      </c>
      <c r="C423" t="s">
        <v>98</v>
      </c>
      <c r="E423">
        <v>166216.81</v>
      </c>
      <c r="G423" s="1">
        <v>45551</v>
      </c>
      <c r="H423" t="s">
        <v>30</v>
      </c>
      <c r="I423" t="s">
        <v>846</v>
      </c>
    </row>
    <row r="424" spans="1:9" x14ac:dyDescent="0.25">
      <c r="A424" t="s">
        <v>847</v>
      </c>
      <c r="B424" t="s">
        <v>22</v>
      </c>
      <c r="C424" t="s">
        <v>98</v>
      </c>
      <c r="D424">
        <v>57</v>
      </c>
      <c r="E424">
        <v>175417.55</v>
      </c>
      <c r="F424">
        <v>9998800.3499999996</v>
      </c>
      <c r="G424" s="1">
        <v>45349</v>
      </c>
      <c r="H424" t="s">
        <v>51</v>
      </c>
      <c r="I424" t="s">
        <v>848</v>
      </c>
    </row>
    <row r="425" spans="1:9" x14ac:dyDescent="0.25">
      <c r="A425" t="s">
        <v>849</v>
      </c>
      <c r="B425" t="s">
        <v>69</v>
      </c>
      <c r="C425" t="s">
        <v>59</v>
      </c>
      <c r="E425">
        <v>216143.58</v>
      </c>
      <c r="G425" s="1">
        <v>45292</v>
      </c>
      <c r="H425" t="s">
        <v>30</v>
      </c>
      <c r="I425" t="s">
        <v>850</v>
      </c>
    </row>
    <row r="426" spans="1:9" x14ac:dyDescent="0.25">
      <c r="A426" t="s">
        <v>851</v>
      </c>
      <c r="B426" t="s">
        <v>57</v>
      </c>
      <c r="C426" t="s">
        <v>138</v>
      </c>
      <c r="E426">
        <v>88910.09</v>
      </c>
      <c r="G426" s="1">
        <v>45349</v>
      </c>
      <c r="H426" t="s">
        <v>15</v>
      </c>
      <c r="I426" t="s">
        <v>852</v>
      </c>
    </row>
    <row r="427" spans="1:9" x14ac:dyDescent="0.25">
      <c r="A427" t="s">
        <v>853</v>
      </c>
      <c r="B427" t="s">
        <v>115</v>
      </c>
      <c r="C427" t="s">
        <v>25</v>
      </c>
      <c r="D427">
        <v>91</v>
      </c>
      <c r="E427">
        <v>59259.44</v>
      </c>
      <c r="F427">
        <v>5392609.04</v>
      </c>
      <c r="G427" s="1">
        <v>45716</v>
      </c>
      <c r="H427" t="s">
        <v>15</v>
      </c>
      <c r="I427" t="s">
        <v>854</v>
      </c>
    </row>
    <row r="428" spans="1:9" x14ac:dyDescent="0.25">
      <c r="A428" t="s">
        <v>855</v>
      </c>
      <c r="B428" t="s">
        <v>97</v>
      </c>
      <c r="C428" t="s">
        <v>59</v>
      </c>
      <c r="E428">
        <v>69390.58</v>
      </c>
      <c r="G428" s="1">
        <v>45342</v>
      </c>
      <c r="H428" t="s">
        <v>15</v>
      </c>
      <c r="I428" t="s">
        <v>856</v>
      </c>
    </row>
    <row r="429" spans="1:9" x14ac:dyDescent="0.25">
      <c r="A429" t="s">
        <v>857</v>
      </c>
      <c r="B429" t="s">
        <v>18</v>
      </c>
      <c r="C429" t="s">
        <v>59</v>
      </c>
      <c r="E429">
        <v>171151.96</v>
      </c>
      <c r="G429" s="1">
        <v>45665</v>
      </c>
      <c r="H429" t="s">
        <v>15</v>
      </c>
      <c r="I429" t="s">
        <v>858</v>
      </c>
    </row>
    <row r="430" spans="1:9" x14ac:dyDescent="0.25">
      <c r="A430" t="s">
        <v>859</v>
      </c>
      <c r="B430" t="s">
        <v>39</v>
      </c>
      <c r="C430" t="s">
        <v>76</v>
      </c>
      <c r="E430">
        <v>74096.14</v>
      </c>
      <c r="G430" s="1">
        <v>45278</v>
      </c>
      <c r="I430" t="s">
        <v>860</v>
      </c>
    </row>
    <row r="431" spans="1:9" x14ac:dyDescent="0.25">
      <c r="B431" t="s">
        <v>18</v>
      </c>
      <c r="C431" t="s">
        <v>14</v>
      </c>
      <c r="E431">
        <v>165417.44</v>
      </c>
      <c r="G431" s="1">
        <v>45654</v>
      </c>
      <c r="I431" t="s">
        <v>861</v>
      </c>
    </row>
    <row r="432" spans="1:9" x14ac:dyDescent="0.25">
      <c r="A432" t="s">
        <v>862</v>
      </c>
      <c r="B432" t="s">
        <v>119</v>
      </c>
      <c r="C432" t="s">
        <v>29</v>
      </c>
      <c r="D432">
        <v>82</v>
      </c>
      <c r="G432" s="1">
        <v>45665</v>
      </c>
      <c r="H432" t="s">
        <v>51</v>
      </c>
      <c r="I432" t="s">
        <v>863</v>
      </c>
    </row>
    <row r="433" spans="1:9" x14ac:dyDescent="0.25">
      <c r="A433" t="s">
        <v>864</v>
      </c>
      <c r="B433" t="s">
        <v>62</v>
      </c>
      <c r="C433" t="s">
        <v>76</v>
      </c>
      <c r="E433">
        <v>283067.63</v>
      </c>
      <c r="G433" s="1">
        <v>45497</v>
      </c>
      <c r="I433" t="s">
        <v>865</v>
      </c>
    </row>
    <row r="434" spans="1:9" x14ac:dyDescent="0.25">
      <c r="A434" t="s">
        <v>866</v>
      </c>
      <c r="B434" t="s">
        <v>867</v>
      </c>
      <c r="C434" t="s">
        <v>235</v>
      </c>
      <c r="D434">
        <v>29</v>
      </c>
      <c r="E434">
        <v>101600.5</v>
      </c>
      <c r="F434">
        <v>2946414.5</v>
      </c>
      <c r="G434" s="1">
        <v>45364</v>
      </c>
      <c r="H434" t="s">
        <v>30</v>
      </c>
      <c r="I434" t="s">
        <v>868</v>
      </c>
    </row>
    <row r="435" spans="1:9" x14ac:dyDescent="0.25">
      <c r="A435" t="s">
        <v>869</v>
      </c>
      <c r="B435" t="s">
        <v>36</v>
      </c>
      <c r="C435" t="s">
        <v>14</v>
      </c>
      <c r="D435">
        <v>26</v>
      </c>
      <c r="E435">
        <v>229126.51</v>
      </c>
      <c r="F435">
        <v>5957289.2599999998</v>
      </c>
      <c r="G435" s="1">
        <v>45490</v>
      </c>
      <c r="H435" t="s">
        <v>15</v>
      </c>
      <c r="I435" t="s">
        <v>870</v>
      </c>
    </row>
    <row r="436" spans="1:9" x14ac:dyDescent="0.25">
      <c r="A436" t="s">
        <v>871</v>
      </c>
      <c r="B436" t="s">
        <v>97</v>
      </c>
      <c r="C436" t="s">
        <v>14</v>
      </c>
      <c r="E436">
        <v>146842.01999999999</v>
      </c>
      <c r="G436" s="1">
        <v>45388</v>
      </c>
      <c r="H436" t="s">
        <v>11</v>
      </c>
    </row>
    <row r="437" spans="1:9" x14ac:dyDescent="0.25">
      <c r="A437" t="s">
        <v>872</v>
      </c>
      <c r="B437" t="s">
        <v>13</v>
      </c>
      <c r="C437" t="s">
        <v>50</v>
      </c>
      <c r="E437">
        <v>217205.6</v>
      </c>
      <c r="G437" s="1">
        <v>45553</v>
      </c>
      <c r="H437" t="s">
        <v>11</v>
      </c>
      <c r="I437" t="s">
        <v>873</v>
      </c>
    </row>
    <row r="438" spans="1:9" x14ac:dyDescent="0.25">
      <c r="A438" t="s">
        <v>874</v>
      </c>
      <c r="B438" t="s">
        <v>33</v>
      </c>
      <c r="C438" t="s">
        <v>76</v>
      </c>
      <c r="E438">
        <v>222008.43</v>
      </c>
      <c r="G438" s="1">
        <v>45843</v>
      </c>
      <c r="H438" t="s">
        <v>11</v>
      </c>
      <c r="I438" t="s">
        <v>875</v>
      </c>
    </row>
    <row r="439" spans="1:9" x14ac:dyDescent="0.25">
      <c r="A439" t="s">
        <v>876</v>
      </c>
      <c r="B439" t="s">
        <v>18</v>
      </c>
      <c r="C439" t="s">
        <v>29</v>
      </c>
      <c r="E439">
        <v>138518.29</v>
      </c>
      <c r="G439" s="1">
        <v>45843</v>
      </c>
      <c r="H439" t="s">
        <v>30</v>
      </c>
      <c r="I439" t="s">
        <v>877</v>
      </c>
    </row>
    <row r="440" spans="1:9" x14ac:dyDescent="0.25">
      <c r="A440" t="s">
        <v>878</v>
      </c>
      <c r="B440" t="s">
        <v>93</v>
      </c>
      <c r="C440" t="s">
        <v>19</v>
      </c>
      <c r="D440">
        <v>71</v>
      </c>
      <c r="E440">
        <v>219965.28</v>
      </c>
      <c r="F440">
        <v>15617534.880000001</v>
      </c>
      <c r="G440" s="1">
        <v>45735</v>
      </c>
      <c r="H440" t="s">
        <v>11</v>
      </c>
      <c r="I440" t="s">
        <v>879</v>
      </c>
    </row>
    <row r="441" spans="1:9" x14ac:dyDescent="0.25">
      <c r="A441" t="s">
        <v>880</v>
      </c>
      <c r="B441" t="s">
        <v>87</v>
      </c>
      <c r="C441" t="s">
        <v>14</v>
      </c>
      <c r="D441">
        <v>79</v>
      </c>
      <c r="E441">
        <v>105976.76</v>
      </c>
      <c r="F441">
        <v>8372164.04</v>
      </c>
      <c r="G441" s="1">
        <v>45678</v>
      </c>
      <c r="H441" t="s">
        <v>11</v>
      </c>
      <c r="I441" t="s">
        <v>881</v>
      </c>
    </row>
    <row r="442" spans="1:9" x14ac:dyDescent="0.25">
      <c r="A442" t="s">
        <v>882</v>
      </c>
      <c r="B442" t="s">
        <v>18</v>
      </c>
      <c r="C442" t="s">
        <v>40</v>
      </c>
      <c r="G442" s="1">
        <v>45330</v>
      </c>
      <c r="H442" t="s">
        <v>51</v>
      </c>
      <c r="I442" t="s">
        <v>883</v>
      </c>
    </row>
    <row r="443" spans="1:9" x14ac:dyDescent="0.25">
      <c r="A443" t="s">
        <v>884</v>
      </c>
      <c r="B443" t="s">
        <v>363</v>
      </c>
      <c r="C443" t="s">
        <v>19</v>
      </c>
      <c r="E443">
        <v>42417.58</v>
      </c>
      <c r="G443" s="1">
        <v>45341</v>
      </c>
      <c r="H443" t="s">
        <v>30</v>
      </c>
      <c r="I443" t="s">
        <v>885</v>
      </c>
    </row>
    <row r="444" spans="1:9" x14ac:dyDescent="0.25">
      <c r="B444" t="s">
        <v>33</v>
      </c>
      <c r="C444" t="s">
        <v>25</v>
      </c>
      <c r="E444">
        <v>164190.63</v>
      </c>
      <c r="G444" s="1">
        <v>45212</v>
      </c>
      <c r="H444" t="s">
        <v>30</v>
      </c>
      <c r="I444" t="s">
        <v>886</v>
      </c>
    </row>
    <row r="445" spans="1:9" x14ac:dyDescent="0.25">
      <c r="A445" t="s">
        <v>887</v>
      </c>
      <c r="B445" t="s">
        <v>66</v>
      </c>
      <c r="C445" t="s">
        <v>19</v>
      </c>
      <c r="E445">
        <v>55622.31</v>
      </c>
      <c r="G445" s="1">
        <v>45563</v>
      </c>
      <c r="H445" t="s">
        <v>11</v>
      </c>
      <c r="I445" t="s">
        <v>888</v>
      </c>
    </row>
    <row r="446" spans="1:9" x14ac:dyDescent="0.25">
      <c r="A446" t="s">
        <v>889</v>
      </c>
      <c r="B446" t="s">
        <v>46</v>
      </c>
      <c r="C446" t="s">
        <v>25</v>
      </c>
      <c r="E446">
        <v>266864.68</v>
      </c>
      <c r="G446" s="1">
        <v>45643</v>
      </c>
      <c r="H446" t="s">
        <v>30</v>
      </c>
      <c r="I446" t="s">
        <v>890</v>
      </c>
    </row>
    <row r="447" spans="1:9" x14ac:dyDescent="0.25">
      <c r="A447" t="s">
        <v>891</v>
      </c>
      <c r="B447" t="s">
        <v>119</v>
      </c>
      <c r="C447" t="s">
        <v>98</v>
      </c>
      <c r="D447">
        <v>74</v>
      </c>
      <c r="E447">
        <v>297101.90000000002</v>
      </c>
      <c r="F447">
        <v>21985540.600000001</v>
      </c>
      <c r="G447" s="1">
        <v>45539</v>
      </c>
      <c r="H447" t="s">
        <v>51</v>
      </c>
      <c r="I447" t="s">
        <v>892</v>
      </c>
    </row>
    <row r="448" spans="1:9" x14ac:dyDescent="0.25">
      <c r="A448" t="s">
        <v>893</v>
      </c>
      <c r="B448" t="s">
        <v>97</v>
      </c>
      <c r="C448" t="s">
        <v>19</v>
      </c>
      <c r="E448">
        <v>287192.45</v>
      </c>
      <c r="G448" s="1">
        <v>45412</v>
      </c>
      <c r="H448" t="s">
        <v>51</v>
      </c>
      <c r="I448" t="s">
        <v>894</v>
      </c>
    </row>
    <row r="449" spans="1:9" x14ac:dyDescent="0.25">
      <c r="A449" t="s">
        <v>895</v>
      </c>
      <c r="B449" t="s">
        <v>46</v>
      </c>
      <c r="C449" t="s">
        <v>25</v>
      </c>
      <c r="D449">
        <v>83</v>
      </c>
      <c r="E449">
        <v>157421.35</v>
      </c>
      <c r="F449">
        <v>13065972.050000001</v>
      </c>
      <c r="G449" s="1">
        <v>45813</v>
      </c>
      <c r="H449" t="s">
        <v>15</v>
      </c>
      <c r="I449" t="s">
        <v>896</v>
      </c>
    </row>
    <row r="450" spans="1:9" x14ac:dyDescent="0.25">
      <c r="A450" t="s">
        <v>897</v>
      </c>
      <c r="B450" t="s">
        <v>66</v>
      </c>
      <c r="C450" t="s">
        <v>235</v>
      </c>
      <c r="E450">
        <v>251801.01</v>
      </c>
      <c r="G450" s="1">
        <v>45424</v>
      </c>
      <c r="H450" t="s">
        <v>51</v>
      </c>
    </row>
    <row r="451" spans="1:9" x14ac:dyDescent="0.25">
      <c r="A451" t="s">
        <v>898</v>
      </c>
      <c r="B451" t="s">
        <v>62</v>
      </c>
      <c r="C451" t="s">
        <v>50</v>
      </c>
      <c r="E451">
        <v>22761.96</v>
      </c>
      <c r="G451" s="1">
        <v>45753</v>
      </c>
      <c r="H451" t="s">
        <v>15</v>
      </c>
      <c r="I451" t="s">
        <v>899</v>
      </c>
    </row>
    <row r="452" spans="1:9" x14ac:dyDescent="0.25">
      <c r="A452" t="s">
        <v>900</v>
      </c>
      <c r="B452" t="s">
        <v>9</v>
      </c>
      <c r="C452" t="s">
        <v>19</v>
      </c>
      <c r="D452">
        <v>45</v>
      </c>
      <c r="G452" s="1">
        <v>45386</v>
      </c>
      <c r="H452" t="s">
        <v>11</v>
      </c>
      <c r="I452" t="s">
        <v>901</v>
      </c>
    </row>
    <row r="453" spans="1:9" x14ac:dyDescent="0.25">
      <c r="A453" t="s">
        <v>902</v>
      </c>
      <c r="B453" t="s">
        <v>115</v>
      </c>
      <c r="C453" t="s">
        <v>59</v>
      </c>
      <c r="E453">
        <v>245489.78</v>
      </c>
      <c r="G453" s="1">
        <v>45718</v>
      </c>
      <c r="H453" t="s">
        <v>15</v>
      </c>
      <c r="I453" t="s">
        <v>903</v>
      </c>
    </row>
    <row r="454" spans="1:9" x14ac:dyDescent="0.25">
      <c r="A454" t="s">
        <v>904</v>
      </c>
      <c r="B454" t="s">
        <v>87</v>
      </c>
      <c r="C454" t="s">
        <v>25</v>
      </c>
      <c r="E454">
        <v>15030.06</v>
      </c>
      <c r="G454" s="1">
        <v>45742</v>
      </c>
      <c r="H454" t="s">
        <v>15</v>
      </c>
      <c r="I454" t="s">
        <v>905</v>
      </c>
    </row>
    <row r="455" spans="1:9" x14ac:dyDescent="0.25">
      <c r="A455" t="s">
        <v>906</v>
      </c>
      <c r="B455" t="s">
        <v>57</v>
      </c>
      <c r="C455" t="s">
        <v>76</v>
      </c>
      <c r="D455">
        <v>24</v>
      </c>
      <c r="E455">
        <v>2411.96</v>
      </c>
      <c r="F455">
        <v>57887.040000000001</v>
      </c>
      <c r="G455" s="1">
        <v>45231</v>
      </c>
      <c r="H455" t="s">
        <v>11</v>
      </c>
      <c r="I455" t="s">
        <v>907</v>
      </c>
    </row>
    <row r="456" spans="1:9" x14ac:dyDescent="0.25">
      <c r="A456" t="s">
        <v>908</v>
      </c>
      <c r="B456" t="s">
        <v>18</v>
      </c>
      <c r="C456" t="s">
        <v>25</v>
      </c>
      <c r="E456">
        <v>41678.71</v>
      </c>
      <c r="G456" s="1">
        <v>45343</v>
      </c>
      <c r="H456" t="s">
        <v>15</v>
      </c>
      <c r="I456" t="s">
        <v>909</v>
      </c>
    </row>
    <row r="457" spans="1:9" x14ac:dyDescent="0.25">
      <c r="B457" t="s">
        <v>49</v>
      </c>
      <c r="C457" t="s">
        <v>19</v>
      </c>
      <c r="D457">
        <v>8</v>
      </c>
      <c r="E457">
        <v>189395.14</v>
      </c>
      <c r="F457">
        <v>1515161.12</v>
      </c>
      <c r="G457" s="1">
        <v>45150</v>
      </c>
      <c r="H457" t="s">
        <v>51</v>
      </c>
      <c r="I457" t="s">
        <v>910</v>
      </c>
    </row>
    <row r="458" spans="1:9" x14ac:dyDescent="0.25">
      <c r="A458" t="s">
        <v>911</v>
      </c>
      <c r="B458" t="s">
        <v>46</v>
      </c>
      <c r="C458" t="s">
        <v>172</v>
      </c>
      <c r="D458">
        <v>67</v>
      </c>
      <c r="E458">
        <v>20856.400000000001</v>
      </c>
      <c r="F458">
        <v>1397378.8</v>
      </c>
      <c r="G458" s="1">
        <v>45341</v>
      </c>
      <c r="H458" t="s">
        <v>11</v>
      </c>
      <c r="I458" t="s">
        <v>912</v>
      </c>
    </row>
    <row r="459" spans="1:9" x14ac:dyDescent="0.25">
      <c r="A459" t="s">
        <v>913</v>
      </c>
      <c r="B459" t="s">
        <v>13</v>
      </c>
      <c r="C459" t="s">
        <v>29</v>
      </c>
      <c r="D459">
        <v>39</v>
      </c>
      <c r="E459">
        <v>45733.38</v>
      </c>
      <c r="F459">
        <v>1783601.82</v>
      </c>
      <c r="G459" s="1">
        <v>45672</v>
      </c>
      <c r="H459" t="s">
        <v>30</v>
      </c>
      <c r="I459" t="s">
        <v>914</v>
      </c>
    </row>
    <row r="460" spans="1:9" x14ac:dyDescent="0.25">
      <c r="A460" t="s">
        <v>915</v>
      </c>
      <c r="B460" t="s">
        <v>62</v>
      </c>
      <c r="C460" t="s">
        <v>76</v>
      </c>
      <c r="E460">
        <v>66006.539999999994</v>
      </c>
      <c r="G460" s="1">
        <v>45179</v>
      </c>
      <c r="H460" t="s">
        <v>15</v>
      </c>
      <c r="I460" t="s">
        <v>916</v>
      </c>
    </row>
    <row r="461" spans="1:9" x14ac:dyDescent="0.25">
      <c r="A461" t="s">
        <v>917</v>
      </c>
      <c r="B461" t="s">
        <v>131</v>
      </c>
      <c r="C461" t="s">
        <v>19</v>
      </c>
      <c r="D461">
        <v>91</v>
      </c>
      <c r="E461">
        <v>137074.89000000001</v>
      </c>
      <c r="F461">
        <v>12473814.99</v>
      </c>
      <c r="G461" s="1">
        <v>45387</v>
      </c>
      <c r="H461" t="s">
        <v>51</v>
      </c>
      <c r="I461" t="s">
        <v>918</v>
      </c>
    </row>
    <row r="462" spans="1:9" x14ac:dyDescent="0.25">
      <c r="A462" t="s">
        <v>919</v>
      </c>
      <c r="B462" t="s">
        <v>57</v>
      </c>
      <c r="C462" t="s">
        <v>50</v>
      </c>
      <c r="G462" s="1">
        <v>45835</v>
      </c>
      <c r="H462" t="s">
        <v>30</v>
      </c>
      <c r="I462" t="s">
        <v>920</v>
      </c>
    </row>
    <row r="463" spans="1:9" x14ac:dyDescent="0.25">
      <c r="A463" t="s">
        <v>921</v>
      </c>
      <c r="B463" t="s">
        <v>119</v>
      </c>
      <c r="C463" t="s">
        <v>29</v>
      </c>
      <c r="D463">
        <v>37</v>
      </c>
      <c r="E463">
        <v>18604.810000000001</v>
      </c>
      <c r="F463">
        <v>688377.97</v>
      </c>
      <c r="G463" s="1">
        <v>45461</v>
      </c>
      <c r="H463" t="s">
        <v>11</v>
      </c>
      <c r="I463" t="s">
        <v>922</v>
      </c>
    </row>
    <row r="464" spans="1:9" x14ac:dyDescent="0.25">
      <c r="A464" t="s">
        <v>923</v>
      </c>
      <c r="B464" t="s">
        <v>46</v>
      </c>
      <c r="C464" t="s">
        <v>76</v>
      </c>
      <c r="D464">
        <v>33</v>
      </c>
      <c r="E464">
        <v>191499.71</v>
      </c>
      <c r="F464">
        <v>6319490.4299999997</v>
      </c>
      <c r="G464" s="1">
        <v>45627</v>
      </c>
      <c r="H464" t="s">
        <v>11</v>
      </c>
    </row>
    <row r="465" spans="1:9" x14ac:dyDescent="0.25">
      <c r="A465" t="s">
        <v>924</v>
      </c>
      <c r="B465" t="s">
        <v>39</v>
      </c>
      <c r="C465" t="s">
        <v>59</v>
      </c>
      <c r="E465">
        <v>280204.15999999997</v>
      </c>
      <c r="G465" s="1">
        <v>45317</v>
      </c>
      <c r="H465" t="s">
        <v>11</v>
      </c>
      <c r="I465" t="s">
        <v>925</v>
      </c>
    </row>
    <row r="466" spans="1:9" x14ac:dyDescent="0.25">
      <c r="A466" t="s">
        <v>926</v>
      </c>
      <c r="B466" t="s">
        <v>97</v>
      </c>
      <c r="C466" t="s">
        <v>172</v>
      </c>
      <c r="D466">
        <v>36</v>
      </c>
      <c r="E466">
        <v>273869.06</v>
      </c>
      <c r="F466">
        <v>9859286.1600000001</v>
      </c>
      <c r="G466" s="1">
        <v>45698</v>
      </c>
      <c r="H466" t="s">
        <v>51</v>
      </c>
      <c r="I466" t="s">
        <v>927</v>
      </c>
    </row>
    <row r="467" spans="1:9" x14ac:dyDescent="0.25">
      <c r="A467" t="s">
        <v>928</v>
      </c>
      <c r="B467" t="s">
        <v>66</v>
      </c>
      <c r="C467" t="s">
        <v>25</v>
      </c>
      <c r="E467">
        <v>197955.66</v>
      </c>
      <c r="G467" s="1">
        <v>45490</v>
      </c>
      <c r="H467" t="s">
        <v>30</v>
      </c>
      <c r="I467" t="s">
        <v>929</v>
      </c>
    </row>
    <row r="468" spans="1:9" x14ac:dyDescent="0.25">
      <c r="A468" t="s">
        <v>930</v>
      </c>
      <c r="B468" t="s">
        <v>97</v>
      </c>
      <c r="C468" t="s">
        <v>98</v>
      </c>
      <c r="E468">
        <v>5211.66</v>
      </c>
      <c r="G468" s="1">
        <v>45284</v>
      </c>
      <c r="H468" t="s">
        <v>11</v>
      </c>
      <c r="I468" t="s">
        <v>931</v>
      </c>
    </row>
    <row r="469" spans="1:9" x14ac:dyDescent="0.25">
      <c r="A469" t="s">
        <v>932</v>
      </c>
      <c r="B469" t="s">
        <v>33</v>
      </c>
      <c r="C469" t="s">
        <v>76</v>
      </c>
      <c r="E469">
        <v>159897.64000000001</v>
      </c>
      <c r="G469" s="1">
        <v>45274</v>
      </c>
      <c r="H469" t="s">
        <v>51</v>
      </c>
      <c r="I469" t="s">
        <v>933</v>
      </c>
    </row>
    <row r="470" spans="1:9" x14ac:dyDescent="0.25">
      <c r="B470" t="s">
        <v>328</v>
      </c>
      <c r="C470" t="s">
        <v>25</v>
      </c>
      <c r="D470">
        <v>83</v>
      </c>
      <c r="E470">
        <v>123695.88</v>
      </c>
      <c r="F470">
        <v>10266758.039999999</v>
      </c>
      <c r="G470" s="1">
        <v>45761</v>
      </c>
      <c r="I470" t="s">
        <v>934</v>
      </c>
    </row>
    <row r="471" spans="1:9" x14ac:dyDescent="0.25">
      <c r="A471" t="s">
        <v>935</v>
      </c>
      <c r="B471" t="s">
        <v>62</v>
      </c>
      <c r="C471" t="s">
        <v>98</v>
      </c>
      <c r="E471">
        <v>5509.48</v>
      </c>
      <c r="G471" s="1">
        <v>45536</v>
      </c>
      <c r="H471" t="s">
        <v>51</v>
      </c>
      <c r="I471" t="s">
        <v>936</v>
      </c>
    </row>
    <row r="472" spans="1:9" x14ac:dyDescent="0.25">
      <c r="A472" t="s">
        <v>937</v>
      </c>
      <c r="B472" t="s">
        <v>143</v>
      </c>
      <c r="C472" t="s">
        <v>98</v>
      </c>
      <c r="D472">
        <v>20</v>
      </c>
      <c r="G472" s="1">
        <v>45328</v>
      </c>
      <c r="I472" t="s">
        <v>938</v>
      </c>
    </row>
    <row r="473" spans="1:9" x14ac:dyDescent="0.25">
      <c r="A473" t="s">
        <v>939</v>
      </c>
      <c r="B473" t="s">
        <v>46</v>
      </c>
      <c r="C473" t="s">
        <v>19</v>
      </c>
      <c r="E473">
        <v>216796.72</v>
      </c>
      <c r="G473" s="1">
        <v>45842</v>
      </c>
      <c r="H473" t="s">
        <v>30</v>
      </c>
      <c r="I473" t="s">
        <v>940</v>
      </c>
    </row>
    <row r="474" spans="1:9" x14ac:dyDescent="0.25">
      <c r="A474" t="s">
        <v>941</v>
      </c>
      <c r="B474" t="s">
        <v>97</v>
      </c>
      <c r="C474" t="s">
        <v>172</v>
      </c>
      <c r="E474">
        <v>160953.56</v>
      </c>
      <c r="G474" s="1">
        <v>45554</v>
      </c>
      <c r="H474" t="s">
        <v>11</v>
      </c>
      <c r="I474" t="s">
        <v>942</v>
      </c>
    </row>
    <row r="475" spans="1:9" x14ac:dyDescent="0.25">
      <c r="A475" t="s">
        <v>943</v>
      </c>
      <c r="B475" t="s">
        <v>115</v>
      </c>
      <c r="C475" t="s">
        <v>29</v>
      </c>
      <c r="E475">
        <v>86363.22</v>
      </c>
      <c r="G475" s="1">
        <v>45658</v>
      </c>
      <c r="H475" t="s">
        <v>11</v>
      </c>
      <c r="I475" t="s">
        <v>944</v>
      </c>
    </row>
    <row r="476" spans="1:9" x14ac:dyDescent="0.25">
      <c r="A476" t="s">
        <v>945</v>
      </c>
      <c r="B476" t="s">
        <v>143</v>
      </c>
      <c r="C476" t="s">
        <v>59</v>
      </c>
      <c r="D476">
        <v>6</v>
      </c>
      <c r="E476">
        <v>150913.70000000001</v>
      </c>
      <c r="F476">
        <v>905482.2</v>
      </c>
      <c r="G476" s="1">
        <v>45328</v>
      </c>
      <c r="H476" t="s">
        <v>15</v>
      </c>
      <c r="I476" t="s">
        <v>946</v>
      </c>
    </row>
    <row r="477" spans="1:9" x14ac:dyDescent="0.25">
      <c r="A477" t="s">
        <v>947</v>
      </c>
      <c r="B477" t="s">
        <v>36</v>
      </c>
      <c r="C477" t="s">
        <v>29</v>
      </c>
      <c r="D477">
        <v>11</v>
      </c>
      <c r="E477">
        <v>209508.79</v>
      </c>
      <c r="F477">
        <v>2304596.69</v>
      </c>
      <c r="G477" s="1">
        <v>45224</v>
      </c>
      <c r="H477" t="s">
        <v>11</v>
      </c>
      <c r="I477" t="s">
        <v>948</v>
      </c>
    </row>
    <row r="478" spans="1:9" x14ac:dyDescent="0.25">
      <c r="A478" t="s">
        <v>949</v>
      </c>
      <c r="B478" t="s">
        <v>28</v>
      </c>
      <c r="C478" t="s">
        <v>29</v>
      </c>
      <c r="E478">
        <v>129456.68</v>
      </c>
      <c r="G478" s="1">
        <v>45202</v>
      </c>
      <c r="H478" t="s">
        <v>30</v>
      </c>
    </row>
    <row r="479" spans="1:9" x14ac:dyDescent="0.25">
      <c r="A479" t="s">
        <v>950</v>
      </c>
      <c r="B479" t="s">
        <v>151</v>
      </c>
      <c r="C479" t="s">
        <v>25</v>
      </c>
      <c r="E479">
        <v>281943.71999999997</v>
      </c>
      <c r="G479" s="1">
        <v>45596</v>
      </c>
      <c r="H479" t="s">
        <v>51</v>
      </c>
      <c r="I479" t="s">
        <v>951</v>
      </c>
    </row>
    <row r="480" spans="1:9" x14ac:dyDescent="0.25">
      <c r="A480" t="s">
        <v>952</v>
      </c>
      <c r="B480" t="s">
        <v>46</v>
      </c>
      <c r="C480" t="s">
        <v>14</v>
      </c>
      <c r="E480">
        <v>54190.42</v>
      </c>
      <c r="G480" s="1">
        <v>45693</v>
      </c>
      <c r="H480" t="s">
        <v>30</v>
      </c>
      <c r="I480" s="2" t="s">
        <v>953</v>
      </c>
    </row>
    <row r="481" spans="1:9" x14ac:dyDescent="0.25">
      <c r="A481" t="s">
        <v>954</v>
      </c>
      <c r="B481" t="s">
        <v>115</v>
      </c>
      <c r="C481" t="s">
        <v>50</v>
      </c>
      <c r="E481">
        <v>275455.63</v>
      </c>
      <c r="G481" s="1">
        <v>45573</v>
      </c>
      <c r="H481" t="s">
        <v>11</v>
      </c>
      <c r="I481" t="s">
        <v>955</v>
      </c>
    </row>
    <row r="482" spans="1:9" x14ac:dyDescent="0.25">
      <c r="A482" t="s">
        <v>956</v>
      </c>
      <c r="B482" t="s">
        <v>93</v>
      </c>
      <c r="C482" t="s">
        <v>138</v>
      </c>
      <c r="D482">
        <v>82</v>
      </c>
      <c r="G482" s="1">
        <v>45303</v>
      </c>
      <c r="H482" t="s">
        <v>51</v>
      </c>
      <c r="I482" t="s">
        <v>957</v>
      </c>
    </row>
    <row r="483" spans="1:9" x14ac:dyDescent="0.25">
      <c r="B483" t="s">
        <v>66</v>
      </c>
      <c r="C483" t="s">
        <v>25</v>
      </c>
      <c r="E483">
        <v>157553.43</v>
      </c>
      <c r="G483" s="1">
        <v>45306</v>
      </c>
      <c r="H483" t="s">
        <v>30</v>
      </c>
      <c r="I483" t="s">
        <v>958</v>
      </c>
    </row>
    <row r="484" spans="1:9" x14ac:dyDescent="0.25">
      <c r="A484" t="s">
        <v>959</v>
      </c>
      <c r="B484" t="s">
        <v>87</v>
      </c>
      <c r="C484" t="s">
        <v>19</v>
      </c>
      <c r="E484">
        <v>72670.17</v>
      </c>
      <c r="G484" s="1">
        <v>45157</v>
      </c>
      <c r="H484" t="s">
        <v>11</v>
      </c>
      <c r="I484" t="s">
        <v>960</v>
      </c>
    </row>
    <row r="485" spans="1:9" x14ac:dyDescent="0.25">
      <c r="A485" t="s">
        <v>961</v>
      </c>
      <c r="B485" t="s">
        <v>143</v>
      </c>
      <c r="C485" t="s">
        <v>98</v>
      </c>
      <c r="E485">
        <v>186124.36</v>
      </c>
      <c r="G485" s="1">
        <v>45638</v>
      </c>
      <c r="H485" t="s">
        <v>11</v>
      </c>
      <c r="I485" t="s">
        <v>962</v>
      </c>
    </row>
    <row r="486" spans="1:9" x14ac:dyDescent="0.25">
      <c r="A486" t="s">
        <v>963</v>
      </c>
      <c r="B486" t="s">
        <v>115</v>
      </c>
      <c r="C486" t="s">
        <v>59</v>
      </c>
      <c r="D486">
        <v>62</v>
      </c>
      <c r="E486">
        <v>76099.25</v>
      </c>
      <c r="F486">
        <v>4718153.5</v>
      </c>
      <c r="G486" s="1">
        <v>45821</v>
      </c>
      <c r="H486" t="s">
        <v>11</v>
      </c>
      <c r="I486" t="s">
        <v>964</v>
      </c>
    </row>
    <row r="487" spans="1:9" x14ac:dyDescent="0.25">
      <c r="A487" t="s">
        <v>965</v>
      </c>
      <c r="B487" t="s">
        <v>36</v>
      </c>
      <c r="C487" t="s">
        <v>14</v>
      </c>
      <c r="E487">
        <v>106655.11</v>
      </c>
      <c r="G487" s="1">
        <v>45530</v>
      </c>
      <c r="H487" t="s">
        <v>15</v>
      </c>
      <c r="I487" t="s">
        <v>966</v>
      </c>
    </row>
    <row r="488" spans="1:9" x14ac:dyDescent="0.25">
      <c r="A488" t="s">
        <v>967</v>
      </c>
      <c r="B488" t="s">
        <v>69</v>
      </c>
      <c r="C488" t="s">
        <v>50</v>
      </c>
      <c r="E488">
        <v>238583.43</v>
      </c>
      <c r="G488" s="1">
        <v>45293</v>
      </c>
      <c r="H488" t="s">
        <v>15</v>
      </c>
      <c r="I488" t="s">
        <v>968</v>
      </c>
    </row>
    <row r="489" spans="1:9" x14ac:dyDescent="0.25">
      <c r="A489" t="s">
        <v>969</v>
      </c>
      <c r="B489" t="s">
        <v>143</v>
      </c>
      <c r="C489" t="s">
        <v>25</v>
      </c>
      <c r="E489">
        <v>24166.26</v>
      </c>
      <c r="G489" s="1">
        <v>45613</v>
      </c>
      <c r="H489" t="s">
        <v>15</v>
      </c>
      <c r="I489" s="2" t="s">
        <v>970</v>
      </c>
    </row>
    <row r="490" spans="1:9" x14ac:dyDescent="0.25">
      <c r="A490" t="s">
        <v>971</v>
      </c>
      <c r="B490" t="s">
        <v>143</v>
      </c>
      <c r="C490" t="s">
        <v>63</v>
      </c>
      <c r="D490">
        <v>8</v>
      </c>
      <c r="E490">
        <v>287809.69</v>
      </c>
      <c r="F490">
        <v>2302477.52</v>
      </c>
      <c r="G490" s="1">
        <v>45298</v>
      </c>
      <c r="H490" t="s">
        <v>51</v>
      </c>
      <c r="I490" t="s">
        <v>972</v>
      </c>
    </row>
    <row r="491" spans="1:9" x14ac:dyDescent="0.25">
      <c r="A491" t="s">
        <v>973</v>
      </c>
      <c r="B491" t="s">
        <v>57</v>
      </c>
      <c r="C491" t="s">
        <v>76</v>
      </c>
      <c r="E491">
        <v>137969.82</v>
      </c>
      <c r="G491" s="1">
        <v>45158</v>
      </c>
      <c r="H491" t="s">
        <v>30</v>
      </c>
      <c r="I491" t="s">
        <v>974</v>
      </c>
    </row>
    <row r="492" spans="1:9" x14ac:dyDescent="0.25">
      <c r="A492" t="s">
        <v>975</v>
      </c>
      <c r="B492" t="s">
        <v>46</v>
      </c>
      <c r="C492" t="s">
        <v>14</v>
      </c>
      <c r="G492" s="1">
        <v>45195</v>
      </c>
      <c r="H492" t="s">
        <v>51</v>
      </c>
    </row>
    <row r="493" spans="1:9" x14ac:dyDescent="0.25">
      <c r="A493" t="s">
        <v>976</v>
      </c>
      <c r="B493" t="s">
        <v>87</v>
      </c>
      <c r="C493" t="s">
        <v>29</v>
      </c>
      <c r="E493">
        <v>73340.759999999995</v>
      </c>
      <c r="G493" s="1">
        <v>45439</v>
      </c>
      <c r="H493" t="s">
        <v>51</v>
      </c>
      <c r="I493" t="s">
        <v>977</v>
      </c>
    </row>
    <row r="494" spans="1:9" x14ac:dyDescent="0.25">
      <c r="A494" t="s">
        <v>978</v>
      </c>
      <c r="B494" t="s">
        <v>66</v>
      </c>
      <c r="C494" t="s">
        <v>14</v>
      </c>
      <c r="D494">
        <v>78</v>
      </c>
      <c r="E494">
        <v>209322.28</v>
      </c>
      <c r="F494">
        <v>16327137.84</v>
      </c>
      <c r="G494" s="1">
        <v>45374</v>
      </c>
      <c r="H494" t="s">
        <v>11</v>
      </c>
      <c r="I494" t="s">
        <v>979</v>
      </c>
    </row>
    <row r="495" spans="1:9" x14ac:dyDescent="0.25">
      <c r="A495" t="s">
        <v>980</v>
      </c>
      <c r="B495" t="s">
        <v>97</v>
      </c>
      <c r="C495" t="s">
        <v>59</v>
      </c>
      <c r="E495">
        <v>90342.399999999994</v>
      </c>
      <c r="G495" s="1">
        <v>45675</v>
      </c>
      <c r="I495" t="s">
        <v>981</v>
      </c>
    </row>
    <row r="496" spans="1:9" x14ac:dyDescent="0.25">
      <c r="B496" t="s">
        <v>83</v>
      </c>
      <c r="C496" t="s">
        <v>25</v>
      </c>
      <c r="E496">
        <v>248504.59</v>
      </c>
      <c r="G496" s="1">
        <v>45484</v>
      </c>
      <c r="I496" t="s">
        <v>982</v>
      </c>
    </row>
    <row r="497" spans="1:9" x14ac:dyDescent="0.25">
      <c r="A497" t="s">
        <v>983</v>
      </c>
      <c r="B497" t="s">
        <v>516</v>
      </c>
      <c r="C497" t="s">
        <v>14</v>
      </c>
      <c r="E497">
        <v>24644.77</v>
      </c>
      <c r="G497" s="1">
        <v>45196</v>
      </c>
      <c r="H497" t="s">
        <v>11</v>
      </c>
      <c r="I497" t="s">
        <v>984</v>
      </c>
    </row>
    <row r="498" spans="1:9" x14ac:dyDescent="0.25">
      <c r="A498" t="s">
        <v>985</v>
      </c>
      <c r="B498" t="s">
        <v>83</v>
      </c>
      <c r="C498" t="s">
        <v>172</v>
      </c>
      <c r="E498">
        <v>297506.57</v>
      </c>
      <c r="G498" s="1">
        <v>45647</v>
      </c>
      <c r="I498" t="s">
        <v>986</v>
      </c>
    </row>
    <row r="499" spans="1:9" x14ac:dyDescent="0.25">
      <c r="A499" t="s">
        <v>987</v>
      </c>
      <c r="B499" t="s">
        <v>57</v>
      </c>
      <c r="C499" t="s">
        <v>19</v>
      </c>
      <c r="E499">
        <v>195143.39</v>
      </c>
      <c r="G499" s="1">
        <v>45716</v>
      </c>
      <c r="H499" t="s">
        <v>51</v>
      </c>
      <c r="I499" t="s">
        <v>988</v>
      </c>
    </row>
    <row r="500" spans="1:9" x14ac:dyDescent="0.25">
      <c r="A500" t="s">
        <v>989</v>
      </c>
      <c r="B500" t="s">
        <v>62</v>
      </c>
      <c r="C500" t="s">
        <v>25</v>
      </c>
      <c r="E500">
        <v>9989.51</v>
      </c>
      <c r="G500" s="1">
        <v>45224</v>
      </c>
      <c r="H500" t="s">
        <v>30</v>
      </c>
      <c r="I500" t="s">
        <v>990</v>
      </c>
    </row>
    <row r="501" spans="1:9" x14ac:dyDescent="0.25">
      <c r="A501" t="s">
        <v>991</v>
      </c>
      <c r="B501" t="s">
        <v>230</v>
      </c>
      <c r="C501" t="s">
        <v>59</v>
      </c>
      <c r="E501">
        <v>121880.85</v>
      </c>
      <c r="G501" s="1">
        <v>45122</v>
      </c>
      <c r="H501" t="s">
        <v>15</v>
      </c>
      <c r="I501" t="s">
        <v>992</v>
      </c>
    </row>
    <row r="502" spans="1:9" x14ac:dyDescent="0.25">
      <c r="A502" t="s">
        <v>993</v>
      </c>
      <c r="B502" t="s">
        <v>93</v>
      </c>
      <c r="C502" t="s">
        <v>50</v>
      </c>
      <c r="G502" s="1">
        <v>45545</v>
      </c>
      <c r="H502" t="s">
        <v>51</v>
      </c>
      <c r="I502" t="s">
        <v>994</v>
      </c>
    </row>
    <row r="503" spans="1:9" x14ac:dyDescent="0.25">
      <c r="A503" t="s">
        <v>995</v>
      </c>
      <c r="B503" t="s">
        <v>39</v>
      </c>
      <c r="C503" t="s">
        <v>19</v>
      </c>
      <c r="D503">
        <v>58</v>
      </c>
      <c r="E503">
        <v>113462.29</v>
      </c>
      <c r="F503">
        <v>6580812.8200000003</v>
      </c>
      <c r="G503" s="1">
        <v>45839</v>
      </c>
      <c r="H503" t="s">
        <v>51</v>
      </c>
      <c r="I503" t="s">
        <v>996</v>
      </c>
    </row>
    <row r="504" spans="1:9" x14ac:dyDescent="0.25">
      <c r="A504" t="s">
        <v>997</v>
      </c>
      <c r="B504" t="s">
        <v>143</v>
      </c>
      <c r="C504" t="s">
        <v>50</v>
      </c>
      <c r="D504">
        <v>19</v>
      </c>
      <c r="E504">
        <v>143063.53</v>
      </c>
      <c r="F504">
        <v>2718207.07</v>
      </c>
      <c r="G504" s="1">
        <v>45240</v>
      </c>
      <c r="H504" t="s">
        <v>30</v>
      </c>
      <c r="I504" t="s">
        <v>998</v>
      </c>
    </row>
    <row r="505" spans="1:9" x14ac:dyDescent="0.25">
      <c r="A505" t="s">
        <v>999</v>
      </c>
      <c r="B505" t="s">
        <v>62</v>
      </c>
      <c r="C505" t="s">
        <v>14</v>
      </c>
      <c r="E505">
        <v>191206.05</v>
      </c>
      <c r="G505" s="1">
        <v>45434</v>
      </c>
      <c r="I505" t="s">
        <v>1000</v>
      </c>
    </row>
    <row r="506" spans="1:9" x14ac:dyDescent="0.25">
      <c r="A506" t="s">
        <v>1001</v>
      </c>
      <c r="B506" t="s">
        <v>187</v>
      </c>
      <c r="C506" t="s">
        <v>40</v>
      </c>
      <c r="E506">
        <v>211002.12</v>
      </c>
      <c r="G506" s="1">
        <v>45625</v>
      </c>
      <c r="H506" t="s">
        <v>30</v>
      </c>
    </row>
    <row r="507" spans="1:9" x14ac:dyDescent="0.25">
      <c r="A507" t="s">
        <v>1002</v>
      </c>
      <c r="B507" t="s">
        <v>97</v>
      </c>
      <c r="C507" t="s">
        <v>76</v>
      </c>
      <c r="D507">
        <v>54</v>
      </c>
      <c r="E507">
        <v>25264.49</v>
      </c>
      <c r="F507">
        <v>1364282.46</v>
      </c>
      <c r="G507" s="1">
        <v>45844</v>
      </c>
      <c r="H507" t="s">
        <v>51</v>
      </c>
      <c r="I507" t="s">
        <v>1003</v>
      </c>
    </row>
    <row r="508" spans="1:9" x14ac:dyDescent="0.25">
      <c r="A508" t="s">
        <v>1004</v>
      </c>
      <c r="B508" t="s">
        <v>39</v>
      </c>
      <c r="C508" t="s">
        <v>59</v>
      </c>
      <c r="E508">
        <v>253676.27</v>
      </c>
      <c r="G508" s="1">
        <v>45802</v>
      </c>
      <c r="H508" t="s">
        <v>11</v>
      </c>
      <c r="I508" t="s">
        <v>1005</v>
      </c>
    </row>
    <row r="509" spans="1:9" x14ac:dyDescent="0.25">
      <c r="B509" t="s">
        <v>22</v>
      </c>
      <c r="C509" t="s">
        <v>50</v>
      </c>
      <c r="E509">
        <v>193649.72</v>
      </c>
      <c r="G509" s="1">
        <v>45800</v>
      </c>
      <c r="H509" t="s">
        <v>11</v>
      </c>
      <c r="I509" t="s">
        <v>1006</v>
      </c>
    </row>
    <row r="510" spans="1:9" x14ac:dyDescent="0.25">
      <c r="A510" t="s">
        <v>1007</v>
      </c>
      <c r="B510" t="s">
        <v>143</v>
      </c>
      <c r="C510" t="s">
        <v>76</v>
      </c>
      <c r="D510">
        <v>41</v>
      </c>
      <c r="E510">
        <v>99715.55</v>
      </c>
      <c r="F510">
        <v>4088337.55</v>
      </c>
      <c r="G510" s="1">
        <v>45487</v>
      </c>
      <c r="H510" t="s">
        <v>51</v>
      </c>
      <c r="I510" t="s">
        <v>1008</v>
      </c>
    </row>
    <row r="511" spans="1:9" x14ac:dyDescent="0.25">
      <c r="A511" t="s">
        <v>1009</v>
      </c>
      <c r="B511" t="s">
        <v>22</v>
      </c>
      <c r="C511" t="s">
        <v>98</v>
      </c>
      <c r="D511">
        <v>98</v>
      </c>
      <c r="E511">
        <v>293210.09999999998</v>
      </c>
      <c r="F511">
        <v>28734589.800000001</v>
      </c>
      <c r="G511" s="1">
        <v>45488</v>
      </c>
      <c r="H511" t="s">
        <v>11</v>
      </c>
      <c r="I511" t="s">
        <v>1010</v>
      </c>
    </row>
    <row r="512" spans="1:9" x14ac:dyDescent="0.25">
      <c r="A512" t="s">
        <v>1011</v>
      </c>
      <c r="B512" t="s">
        <v>57</v>
      </c>
      <c r="C512" t="s">
        <v>25</v>
      </c>
      <c r="G512" s="1">
        <v>45623</v>
      </c>
      <c r="I512" t="s">
        <v>1012</v>
      </c>
    </row>
    <row r="513" spans="1:9" x14ac:dyDescent="0.25">
      <c r="A513" t="s">
        <v>1013</v>
      </c>
      <c r="B513" t="s">
        <v>28</v>
      </c>
      <c r="C513" t="s">
        <v>50</v>
      </c>
      <c r="E513">
        <v>292165</v>
      </c>
      <c r="G513" s="1">
        <v>45272</v>
      </c>
      <c r="H513" t="s">
        <v>30</v>
      </c>
      <c r="I513" t="s">
        <v>1014</v>
      </c>
    </row>
    <row r="514" spans="1:9" x14ac:dyDescent="0.25">
      <c r="A514" t="s">
        <v>1015</v>
      </c>
      <c r="B514" t="s">
        <v>13</v>
      </c>
      <c r="C514" t="s">
        <v>10</v>
      </c>
      <c r="E514">
        <v>268489.96999999997</v>
      </c>
      <c r="G514" s="1">
        <v>45705</v>
      </c>
      <c r="H514" t="s">
        <v>15</v>
      </c>
      <c r="I514" t="s">
        <v>1016</v>
      </c>
    </row>
    <row r="515" spans="1:9" x14ac:dyDescent="0.25">
      <c r="A515" t="s">
        <v>1017</v>
      </c>
      <c r="B515" t="s">
        <v>363</v>
      </c>
      <c r="C515" t="s">
        <v>59</v>
      </c>
      <c r="D515">
        <v>3</v>
      </c>
      <c r="E515">
        <v>275786.09000000003</v>
      </c>
      <c r="F515">
        <v>827358.27</v>
      </c>
      <c r="G515" s="1">
        <v>45341</v>
      </c>
      <c r="H515" t="s">
        <v>30</v>
      </c>
      <c r="I515" t="s">
        <v>1018</v>
      </c>
    </row>
    <row r="516" spans="1:9" x14ac:dyDescent="0.25">
      <c r="A516" t="s">
        <v>1019</v>
      </c>
      <c r="B516" t="s">
        <v>22</v>
      </c>
      <c r="C516" t="s">
        <v>25</v>
      </c>
      <c r="E516">
        <v>69315.070000000007</v>
      </c>
      <c r="G516" s="1">
        <v>45367</v>
      </c>
      <c r="H516" t="s">
        <v>15</v>
      </c>
      <c r="I516" t="s">
        <v>1020</v>
      </c>
    </row>
    <row r="517" spans="1:9" x14ac:dyDescent="0.25">
      <c r="A517" t="s">
        <v>1021</v>
      </c>
      <c r="B517" t="s">
        <v>230</v>
      </c>
      <c r="C517" t="s">
        <v>76</v>
      </c>
      <c r="D517">
        <v>59</v>
      </c>
      <c r="E517">
        <v>270431.25</v>
      </c>
      <c r="F517">
        <v>15955443.75</v>
      </c>
      <c r="G517" s="1">
        <v>45339</v>
      </c>
      <c r="H517" t="s">
        <v>51</v>
      </c>
      <c r="I517" t="s">
        <v>1022</v>
      </c>
    </row>
    <row r="518" spans="1:9" x14ac:dyDescent="0.25">
      <c r="A518" t="s">
        <v>1023</v>
      </c>
      <c r="B518" t="s">
        <v>66</v>
      </c>
      <c r="C518" t="s">
        <v>59</v>
      </c>
      <c r="E518">
        <v>207840.17</v>
      </c>
      <c r="G518" s="1">
        <v>45619</v>
      </c>
      <c r="H518" t="s">
        <v>51</v>
      </c>
      <c r="I518" t="s">
        <v>1024</v>
      </c>
    </row>
    <row r="519" spans="1:9" x14ac:dyDescent="0.25">
      <c r="A519" t="s">
        <v>1025</v>
      </c>
      <c r="B519" t="s">
        <v>39</v>
      </c>
      <c r="C519" t="s">
        <v>50</v>
      </c>
      <c r="D519">
        <v>46</v>
      </c>
      <c r="E519">
        <v>170251.85</v>
      </c>
      <c r="F519">
        <v>7831585.0999999996</v>
      </c>
      <c r="G519" s="1">
        <v>45163</v>
      </c>
      <c r="H519" t="s">
        <v>15</v>
      </c>
      <c r="I519" t="s">
        <v>1026</v>
      </c>
    </row>
    <row r="520" spans="1:9" x14ac:dyDescent="0.25">
      <c r="A520" t="s">
        <v>1027</v>
      </c>
      <c r="B520" t="s">
        <v>83</v>
      </c>
      <c r="C520" t="s">
        <v>29</v>
      </c>
      <c r="E520">
        <v>81692.97</v>
      </c>
      <c r="G520" s="1">
        <v>45823</v>
      </c>
      <c r="H520" t="s">
        <v>11</v>
      </c>
    </row>
    <row r="521" spans="1:9" x14ac:dyDescent="0.25">
      <c r="A521" t="s">
        <v>1028</v>
      </c>
      <c r="B521" t="s">
        <v>46</v>
      </c>
      <c r="C521" t="s">
        <v>19</v>
      </c>
      <c r="E521">
        <v>277285.7</v>
      </c>
      <c r="G521" s="1">
        <v>45715</v>
      </c>
      <c r="H521" t="s">
        <v>51</v>
      </c>
      <c r="I521" t="s">
        <v>1029</v>
      </c>
    </row>
    <row r="522" spans="1:9" x14ac:dyDescent="0.25">
      <c r="B522" t="s">
        <v>87</v>
      </c>
      <c r="C522" t="s">
        <v>138</v>
      </c>
      <c r="G522" s="1">
        <v>45187</v>
      </c>
      <c r="I522" t="s">
        <v>1030</v>
      </c>
    </row>
    <row r="523" spans="1:9" x14ac:dyDescent="0.25">
      <c r="A523" t="s">
        <v>1031</v>
      </c>
      <c r="B523" t="s">
        <v>57</v>
      </c>
      <c r="C523" t="s">
        <v>59</v>
      </c>
      <c r="E523">
        <v>205486.41</v>
      </c>
      <c r="G523" s="1">
        <v>45624</v>
      </c>
      <c r="I523" t="s">
        <v>1032</v>
      </c>
    </row>
    <row r="524" spans="1:9" x14ac:dyDescent="0.25">
      <c r="A524" t="s">
        <v>1033</v>
      </c>
      <c r="B524" t="s">
        <v>867</v>
      </c>
      <c r="C524" t="s">
        <v>29</v>
      </c>
      <c r="D524">
        <v>69</v>
      </c>
      <c r="E524">
        <v>84471.72</v>
      </c>
      <c r="F524">
        <v>5828548.6799999997</v>
      </c>
      <c r="G524" s="1">
        <v>45563</v>
      </c>
      <c r="I524" t="s">
        <v>1034</v>
      </c>
    </row>
    <row r="525" spans="1:9" x14ac:dyDescent="0.25">
      <c r="A525" t="s">
        <v>1035</v>
      </c>
      <c r="B525" t="s">
        <v>230</v>
      </c>
      <c r="C525" t="s">
        <v>50</v>
      </c>
      <c r="E525">
        <v>163137.69</v>
      </c>
      <c r="G525" s="1">
        <v>45298</v>
      </c>
      <c r="I525" t="s">
        <v>1036</v>
      </c>
    </row>
    <row r="526" spans="1:9" x14ac:dyDescent="0.25">
      <c r="A526" t="s">
        <v>1037</v>
      </c>
      <c r="B526" t="s">
        <v>115</v>
      </c>
      <c r="C526" t="s">
        <v>19</v>
      </c>
      <c r="E526">
        <v>197603.72</v>
      </c>
      <c r="G526" s="1">
        <v>45533</v>
      </c>
      <c r="H526" t="s">
        <v>15</v>
      </c>
      <c r="I526" t="s">
        <v>1038</v>
      </c>
    </row>
    <row r="527" spans="1:9" x14ac:dyDescent="0.25">
      <c r="A527" t="s">
        <v>1039</v>
      </c>
      <c r="B527" t="s">
        <v>22</v>
      </c>
      <c r="C527" t="s">
        <v>25</v>
      </c>
      <c r="E527">
        <v>54216.67</v>
      </c>
      <c r="G527" s="1">
        <v>45691</v>
      </c>
      <c r="H527" t="s">
        <v>11</v>
      </c>
      <c r="I527" t="s">
        <v>1040</v>
      </c>
    </row>
    <row r="528" spans="1:9" x14ac:dyDescent="0.25">
      <c r="A528" t="s">
        <v>1041</v>
      </c>
      <c r="B528" t="s">
        <v>28</v>
      </c>
      <c r="C528" t="s">
        <v>76</v>
      </c>
      <c r="E528">
        <v>255203.07</v>
      </c>
      <c r="G528" s="1">
        <v>45679</v>
      </c>
      <c r="H528" t="s">
        <v>15</v>
      </c>
      <c r="I528" t="s">
        <v>1042</v>
      </c>
    </row>
    <row r="529" spans="1:9" x14ac:dyDescent="0.25">
      <c r="A529" t="s">
        <v>1043</v>
      </c>
      <c r="B529" t="s">
        <v>13</v>
      </c>
      <c r="C529" t="s">
        <v>50</v>
      </c>
      <c r="D529">
        <v>47</v>
      </c>
      <c r="E529">
        <v>5189.6000000000004</v>
      </c>
      <c r="F529">
        <v>243911.2</v>
      </c>
      <c r="G529" s="1">
        <v>45778</v>
      </c>
      <c r="H529" t="s">
        <v>51</v>
      </c>
      <c r="I529" t="s">
        <v>1044</v>
      </c>
    </row>
    <row r="530" spans="1:9" x14ac:dyDescent="0.25">
      <c r="A530" t="s">
        <v>1045</v>
      </c>
      <c r="B530" t="s">
        <v>33</v>
      </c>
      <c r="C530" t="s">
        <v>235</v>
      </c>
      <c r="D530">
        <v>52</v>
      </c>
      <c r="E530">
        <v>62543.86</v>
      </c>
      <c r="F530">
        <v>3252280.72</v>
      </c>
      <c r="G530" s="1">
        <v>45845</v>
      </c>
      <c r="I530" t="s">
        <v>1046</v>
      </c>
    </row>
    <row r="531" spans="1:9" x14ac:dyDescent="0.25">
      <c r="A531" t="s">
        <v>1047</v>
      </c>
      <c r="B531" t="s">
        <v>46</v>
      </c>
      <c r="C531" t="s">
        <v>98</v>
      </c>
      <c r="E531">
        <v>43685.37</v>
      </c>
      <c r="G531" s="1">
        <v>45146</v>
      </c>
      <c r="I531" t="s">
        <v>1048</v>
      </c>
    </row>
    <row r="532" spans="1:9" x14ac:dyDescent="0.25">
      <c r="A532" t="s">
        <v>1049</v>
      </c>
      <c r="B532" t="s">
        <v>22</v>
      </c>
      <c r="C532" t="s">
        <v>98</v>
      </c>
      <c r="G532" s="1">
        <v>45827</v>
      </c>
      <c r="I532" t="s">
        <v>1050</v>
      </c>
    </row>
    <row r="533" spans="1:9" x14ac:dyDescent="0.25">
      <c r="A533" t="s">
        <v>1051</v>
      </c>
      <c r="B533" t="s">
        <v>276</v>
      </c>
      <c r="C533" t="s">
        <v>25</v>
      </c>
      <c r="E533">
        <v>246296.88</v>
      </c>
      <c r="G533" s="1">
        <v>45833</v>
      </c>
      <c r="H533" t="s">
        <v>51</v>
      </c>
      <c r="I533" t="s">
        <v>1052</v>
      </c>
    </row>
    <row r="534" spans="1:9" x14ac:dyDescent="0.25">
      <c r="A534" t="s">
        <v>1053</v>
      </c>
      <c r="B534" t="s">
        <v>62</v>
      </c>
      <c r="C534" t="s">
        <v>19</v>
      </c>
      <c r="E534">
        <v>246360.27</v>
      </c>
      <c r="G534" s="1">
        <v>45253</v>
      </c>
      <c r="H534" t="s">
        <v>30</v>
      </c>
    </row>
    <row r="535" spans="1:9" x14ac:dyDescent="0.25">
      <c r="B535" t="s">
        <v>83</v>
      </c>
      <c r="C535" t="s">
        <v>50</v>
      </c>
      <c r="E535">
        <v>278698.03999999998</v>
      </c>
      <c r="G535" s="1">
        <v>45442</v>
      </c>
      <c r="H535" t="s">
        <v>15</v>
      </c>
      <c r="I535" t="s">
        <v>1054</v>
      </c>
    </row>
    <row r="536" spans="1:9" x14ac:dyDescent="0.25">
      <c r="A536" t="s">
        <v>1055</v>
      </c>
      <c r="B536" t="s">
        <v>49</v>
      </c>
      <c r="C536" t="s">
        <v>50</v>
      </c>
      <c r="E536">
        <v>90133.43</v>
      </c>
      <c r="G536" s="1">
        <v>45803</v>
      </c>
      <c r="H536" t="s">
        <v>11</v>
      </c>
      <c r="I536" t="s">
        <v>1056</v>
      </c>
    </row>
    <row r="537" spans="1:9" x14ac:dyDescent="0.25">
      <c r="A537" t="s">
        <v>1057</v>
      </c>
      <c r="B537" t="s">
        <v>36</v>
      </c>
      <c r="C537" t="s">
        <v>29</v>
      </c>
      <c r="E537">
        <v>169405.48</v>
      </c>
      <c r="G537" s="1">
        <v>45768</v>
      </c>
      <c r="H537" t="s">
        <v>51</v>
      </c>
      <c r="I537" t="s">
        <v>1058</v>
      </c>
    </row>
    <row r="538" spans="1:9" x14ac:dyDescent="0.25">
      <c r="A538" t="s">
        <v>1059</v>
      </c>
      <c r="B538" t="s">
        <v>22</v>
      </c>
      <c r="C538" t="s">
        <v>235</v>
      </c>
      <c r="E538">
        <v>170225.43</v>
      </c>
      <c r="G538" s="1">
        <v>45254</v>
      </c>
      <c r="H538" t="s">
        <v>30</v>
      </c>
      <c r="I538" t="s">
        <v>1060</v>
      </c>
    </row>
    <row r="539" spans="1:9" x14ac:dyDescent="0.25">
      <c r="A539" t="s">
        <v>1061</v>
      </c>
      <c r="B539" t="s">
        <v>33</v>
      </c>
      <c r="C539" t="s">
        <v>76</v>
      </c>
      <c r="D539">
        <v>16</v>
      </c>
      <c r="E539">
        <v>254908.01</v>
      </c>
      <c r="F539">
        <v>4078528.16</v>
      </c>
      <c r="G539" s="1">
        <v>45843</v>
      </c>
      <c r="H539" t="s">
        <v>30</v>
      </c>
      <c r="I539" t="s">
        <v>1062</v>
      </c>
    </row>
    <row r="540" spans="1:9" x14ac:dyDescent="0.25">
      <c r="A540" t="s">
        <v>1063</v>
      </c>
      <c r="B540" t="s">
        <v>83</v>
      </c>
      <c r="C540" t="s">
        <v>19</v>
      </c>
      <c r="E540">
        <v>203271.97</v>
      </c>
      <c r="G540" s="1">
        <v>45832</v>
      </c>
      <c r="H540" t="s">
        <v>11</v>
      </c>
      <c r="I540" t="s">
        <v>1064</v>
      </c>
    </row>
    <row r="541" spans="1:9" x14ac:dyDescent="0.25">
      <c r="A541" t="s">
        <v>1065</v>
      </c>
      <c r="B541" t="s">
        <v>28</v>
      </c>
      <c r="C541" t="s">
        <v>59</v>
      </c>
      <c r="E541">
        <v>162398.45000000001</v>
      </c>
      <c r="G541" s="1">
        <v>45146</v>
      </c>
      <c r="H541" t="s">
        <v>51</v>
      </c>
      <c r="I541" t="s">
        <v>1066</v>
      </c>
    </row>
    <row r="542" spans="1:9" x14ac:dyDescent="0.25">
      <c r="A542" t="s">
        <v>1067</v>
      </c>
      <c r="B542" t="s">
        <v>516</v>
      </c>
      <c r="C542" t="s">
        <v>76</v>
      </c>
      <c r="G542" s="1">
        <v>45767</v>
      </c>
      <c r="H542" t="s">
        <v>30</v>
      </c>
      <c r="I542" t="s">
        <v>1068</v>
      </c>
    </row>
    <row r="543" spans="1:9" x14ac:dyDescent="0.25">
      <c r="A543" t="s">
        <v>1069</v>
      </c>
      <c r="B543" t="s">
        <v>62</v>
      </c>
      <c r="C543" t="s">
        <v>14</v>
      </c>
      <c r="D543">
        <v>97</v>
      </c>
      <c r="E543">
        <v>115461.94</v>
      </c>
      <c r="F543">
        <v>11199808.18</v>
      </c>
      <c r="G543" s="1">
        <v>45426</v>
      </c>
      <c r="I543" t="s">
        <v>1070</v>
      </c>
    </row>
    <row r="544" spans="1:9" x14ac:dyDescent="0.25">
      <c r="A544" t="s">
        <v>1071</v>
      </c>
      <c r="B544" t="s">
        <v>36</v>
      </c>
      <c r="C544" t="s">
        <v>76</v>
      </c>
      <c r="E544">
        <v>222053.68</v>
      </c>
      <c r="G544" s="1">
        <v>45730</v>
      </c>
      <c r="H544" t="s">
        <v>11</v>
      </c>
      <c r="I544" t="s">
        <v>1072</v>
      </c>
    </row>
    <row r="545" spans="1:9" x14ac:dyDescent="0.25">
      <c r="A545" t="s">
        <v>1073</v>
      </c>
      <c r="B545" t="s">
        <v>66</v>
      </c>
      <c r="C545" t="s">
        <v>50</v>
      </c>
      <c r="E545">
        <v>237254.18</v>
      </c>
      <c r="G545" s="1">
        <v>45502</v>
      </c>
      <c r="I545" t="s">
        <v>1074</v>
      </c>
    </row>
    <row r="546" spans="1:9" x14ac:dyDescent="0.25">
      <c r="A546" t="s">
        <v>1075</v>
      </c>
      <c r="B546" t="s">
        <v>97</v>
      </c>
      <c r="C546" t="s">
        <v>10</v>
      </c>
      <c r="D546">
        <v>65</v>
      </c>
      <c r="E546">
        <v>206948.51</v>
      </c>
      <c r="F546">
        <v>13451653.15</v>
      </c>
      <c r="G546" s="1">
        <v>45262</v>
      </c>
      <c r="H546" t="s">
        <v>11</v>
      </c>
      <c r="I546" t="s">
        <v>1076</v>
      </c>
    </row>
    <row r="547" spans="1:9" x14ac:dyDescent="0.25">
      <c r="A547" t="s">
        <v>1077</v>
      </c>
      <c r="B547" t="s">
        <v>83</v>
      </c>
      <c r="C547" t="s">
        <v>76</v>
      </c>
      <c r="D547">
        <v>6</v>
      </c>
      <c r="E547">
        <v>23989.09</v>
      </c>
      <c r="F547">
        <v>143934.54</v>
      </c>
      <c r="G547" s="1">
        <v>45845</v>
      </c>
      <c r="H547" t="s">
        <v>15</v>
      </c>
      <c r="I547" t="s">
        <v>1078</v>
      </c>
    </row>
    <row r="548" spans="1:9" x14ac:dyDescent="0.25">
      <c r="B548" t="s">
        <v>66</v>
      </c>
      <c r="C548" t="s">
        <v>25</v>
      </c>
      <c r="E548">
        <v>223764.24</v>
      </c>
      <c r="G548" s="1">
        <v>45699</v>
      </c>
      <c r="H548" t="s">
        <v>15</v>
      </c>
    </row>
    <row r="549" spans="1:9" x14ac:dyDescent="0.25">
      <c r="A549" t="s">
        <v>1079</v>
      </c>
      <c r="B549" t="s">
        <v>62</v>
      </c>
      <c r="C549" t="s">
        <v>98</v>
      </c>
      <c r="E549">
        <v>104084.92</v>
      </c>
      <c r="G549" s="1">
        <v>45795</v>
      </c>
      <c r="H549" t="s">
        <v>51</v>
      </c>
      <c r="I549" t="s">
        <v>1080</v>
      </c>
    </row>
    <row r="550" spans="1:9" x14ac:dyDescent="0.25">
      <c r="A550" t="s">
        <v>1081</v>
      </c>
      <c r="B550" t="s">
        <v>46</v>
      </c>
      <c r="C550" t="s">
        <v>59</v>
      </c>
      <c r="E550">
        <v>29756.89</v>
      </c>
      <c r="G550" s="1">
        <v>45837</v>
      </c>
      <c r="H550" t="s">
        <v>30</v>
      </c>
      <c r="I550" t="s">
        <v>1082</v>
      </c>
    </row>
    <row r="551" spans="1:9" x14ac:dyDescent="0.25">
      <c r="A551" t="s">
        <v>1083</v>
      </c>
      <c r="B551" t="s">
        <v>131</v>
      </c>
      <c r="C551" t="s">
        <v>29</v>
      </c>
      <c r="E551">
        <v>70027.13</v>
      </c>
      <c r="G551" s="1">
        <v>45342</v>
      </c>
      <c r="I551" t="s">
        <v>1084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18E9-BA30-4762-9A45-509C1B7C1614}">
  <dimension ref="A4:P160"/>
  <sheetViews>
    <sheetView tabSelected="1" topLeftCell="A142" workbookViewId="0">
      <selection activeCell="J151" sqref="J151"/>
    </sheetView>
  </sheetViews>
  <sheetFormatPr defaultRowHeight="15" x14ac:dyDescent="0.25"/>
  <cols>
    <col min="1" max="1" width="16.85546875" customWidth="1"/>
    <col min="3" max="3" width="12.140625" bestFit="1" customWidth="1"/>
    <col min="4" max="4" width="18.42578125" bestFit="1" customWidth="1"/>
    <col min="5" max="5" width="16.28515625" bestFit="1" customWidth="1"/>
    <col min="6" max="7" width="18.42578125" bestFit="1" customWidth="1"/>
    <col min="8" max="9" width="16.7109375" bestFit="1" customWidth="1"/>
    <col min="10" max="10" width="16.28515625" bestFit="1" customWidth="1"/>
    <col min="11" max="11" width="19.42578125" bestFit="1" customWidth="1"/>
    <col min="12" max="12" width="14" customWidth="1"/>
    <col min="13" max="13" width="25.140625" customWidth="1"/>
  </cols>
  <sheetData>
    <row r="4" spans="1:10" x14ac:dyDescent="0.25">
      <c r="A4">
        <v>1</v>
      </c>
      <c r="C4" t="s">
        <v>1098</v>
      </c>
      <c r="F4" t="s">
        <v>1099</v>
      </c>
      <c r="H4" t="s">
        <v>1100</v>
      </c>
      <c r="J4" t="s">
        <v>1102</v>
      </c>
    </row>
    <row r="5" spans="1:10" x14ac:dyDescent="0.25">
      <c r="C5" s="5">
        <v>4034593572.8099999</v>
      </c>
      <c r="F5" s="3">
        <v>25828</v>
      </c>
      <c r="H5" s="5">
        <v>85639981.980000138</v>
      </c>
      <c r="J5" s="3">
        <v>550</v>
      </c>
    </row>
    <row r="8" spans="1:10" x14ac:dyDescent="0.25">
      <c r="A8" t="s">
        <v>1106</v>
      </c>
      <c r="C8" s="4" t="s">
        <v>1086</v>
      </c>
      <c r="D8" t="s">
        <v>1098</v>
      </c>
      <c r="E8" t="s">
        <v>1130</v>
      </c>
    </row>
    <row r="9" spans="1:10" x14ac:dyDescent="0.25">
      <c r="C9" t="s">
        <v>1103</v>
      </c>
      <c r="D9" s="5">
        <v>806870508.77000034</v>
      </c>
      <c r="E9" s="8">
        <v>0.1999880518840052</v>
      </c>
    </row>
    <row r="10" spans="1:10" x14ac:dyDescent="0.25">
      <c r="C10" t="s">
        <v>1104</v>
      </c>
      <c r="D10" s="5">
        <v>2204183152.8099999</v>
      </c>
      <c r="E10" s="8">
        <v>0.54632098947077767</v>
      </c>
    </row>
    <row r="11" spans="1:10" x14ac:dyDescent="0.25">
      <c r="C11" t="s">
        <v>1105</v>
      </c>
      <c r="D11" s="5">
        <v>1023539911.2300004</v>
      </c>
      <c r="E11" s="8">
        <v>0.25369095864521701</v>
      </c>
    </row>
    <row r="12" spans="1:10" x14ac:dyDescent="0.25">
      <c r="C12" t="s">
        <v>1101</v>
      </c>
      <c r="D12" s="5">
        <v>4034593572.8100009</v>
      </c>
      <c r="E12" s="8">
        <v>1</v>
      </c>
    </row>
    <row r="21" spans="1:4" x14ac:dyDescent="0.25">
      <c r="C21" s="4" t="s">
        <v>1085</v>
      </c>
      <c r="D21" t="s">
        <v>1098</v>
      </c>
    </row>
    <row r="22" spans="1:4" x14ac:dyDescent="0.25">
      <c r="A22" t="s">
        <v>1119</v>
      </c>
      <c r="C22" t="s">
        <v>1107</v>
      </c>
      <c r="D22" s="5">
        <v>349511967.17999995</v>
      </c>
    </row>
    <row r="23" spans="1:4" x14ac:dyDescent="0.25">
      <c r="C23" t="s">
        <v>1108</v>
      </c>
      <c r="D23" s="5">
        <v>354611103.66999996</v>
      </c>
    </row>
    <row r="24" spans="1:4" x14ac:dyDescent="0.25">
      <c r="C24" t="s">
        <v>1109</v>
      </c>
      <c r="D24" s="5">
        <v>379297064.16000009</v>
      </c>
    </row>
    <row r="25" spans="1:4" x14ac:dyDescent="0.25">
      <c r="C25" t="s">
        <v>1110</v>
      </c>
      <c r="D25" s="5">
        <v>336620810.34000003</v>
      </c>
    </row>
    <row r="26" spans="1:4" x14ac:dyDescent="0.25">
      <c r="C26" t="s">
        <v>1111</v>
      </c>
      <c r="D26" s="5">
        <v>373052094.94999975</v>
      </c>
    </row>
    <row r="27" spans="1:4" x14ac:dyDescent="0.25">
      <c r="C27" t="s">
        <v>1112</v>
      </c>
      <c r="D27" s="5">
        <v>280362994.92999995</v>
      </c>
    </row>
    <row r="28" spans="1:4" x14ac:dyDescent="0.25">
      <c r="C28" t="s">
        <v>1113</v>
      </c>
      <c r="D28" s="5">
        <v>298009248.26999998</v>
      </c>
    </row>
    <row r="29" spans="1:4" x14ac:dyDescent="0.25">
      <c r="C29" t="s">
        <v>1114</v>
      </c>
      <c r="D29" s="5">
        <v>302059475.18999994</v>
      </c>
    </row>
    <row r="30" spans="1:4" x14ac:dyDescent="0.25">
      <c r="C30" t="s">
        <v>1115</v>
      </c>
      <c r="D30" s="5">
        <v>259536225.88999996</v>
      </c>
    </row>
    <row r="31" spans="1:4" x14ac:dyDescent="0.25">
      <c r="C31" t="s">
        <v>1116</v>
      </c>
      <c r="D31" s="5">
        <v>435823013.38999999</v>
      </c>
    </row>
    <row r="32" spans="1:4" x14ac:dyDescent="0.25">
      <c r="C32" t="s">
        <v>1117</v>
      </c>
      <c r="D32" s="5">
        <v>363145190.9600001</v>
      </c>
    </row>
    <row r="33" spans="1:4" x14ac:dyDescent="0.25">
      <c r="C33" t="s">
        <v>1118</v>
      </c>
      <c r="D33" s="5">
        <v>302564383.88000005</v>
      </c>
    </row>
    <row r="34" spans="1:4" x14ac:dyDescent="0.25">
      <c r="C34" t="s">
        <v>1101</v>
      </c>
      <c r="D34" s="5">
        <v>4034593572.8099995</v>
      </c>
    </row>
    <row r="39" spans="1:4" x14ac:dyDescent="0.25">
      <c r="C39" s="4" t="s">
        <v>1</v>
      </c>
      <c r="D39" t="s">
        <v>1098</v>
      </c>
    </row>
    <row r="40" spans="1:4" x14ac:dyDescent="0.25">
      <c r="A40" t="s">
        <v>1120</v>
      </c>
      <c r="C40" t="s">
        <v>22</v>
      </c>
      <c r="D40" s="5">
        <v>290042871.94999999</v>
      </c>
    </row>
    <row r="41" spans="1:4" x14ac:dyDescent="0.25">
      <c r="C41" t="s">
        <v>36</v>
      </c>
      <c r="D41" s="5">
        <v>277426349.26999998</v>
      </c>
    </row>
    <row r="42" spans="1:4" x14ac:dyDescent="0.25">
      <c r="C42" t="s">
        <v>39</v>
      </c>
      <c r="D42" s="5">
        <v>274411241.71999991</v>
      </c>
    </row>
    <row r="43" spans="1:4" x14ac:dyDescent="0.25">
      <c r="C43" t="s">
        <v>33</v>
      </c>
      <c r="D43" s="5">
        <v>229908523.96999997</v>
      </c>
    </row>
    <row r="44" spans="1:4" x14ac:dyDescent="0.25">
      <c r="C44" t="s">
        <v>57</v>
      </c>
      <c r="D44" s="5">
        <v>219937341.62999997</v>
      </c>
    </row>
    <row r="45" spans="1:4" x14ac:dyDescent="0.25">
      <c r="C45" t="s">
        <v>46</v>
      </c>
      <c r="D45" s="5">
        <v>211621512.54000002</v>
      </c>
    </row>
    <row r="46" spans="1:4" x14ac:dyDescent="0.25">
      <c r="C46" t="s">
        <v>93</v>
      </c>
      <c r="D46" s="5">
        <v>210963202.81999996</v>
      </c>
    </row>
    <row r="47" spans="1:4" x14ac:dyDescent="0.25">
      <c r="C47" t="s">
        <v>66</v>
      </c>
      <c r="D47" s="5">
        <v>210362062.43999997</v>
      </c>
    </row>
    <row r="48" spans="1:4" x14ac:dyDescent="0.25">
      <c r="C48" t="s">
        <v>28</v>
      </c>
      <c r="D48" s="5">
        <v>208466837.33999997</v>
      </c>
    </row>
    <row r="49" spans="1:5" x14ac:dyDescent="0.25">
      <c r="C49" t="s">
        <v>18</v>
      </c>
      <c r="D49" s="5">
        <v>207615839.97999999</v>
      </c>
    </row>
    <row r="50" spans="1:5" x14ac:dyDescent="0.25">
      <c r="C50" t="s">
        <v>1101</v>
      </c>
      <c r="D50" s="5">
        <v>2340755783.6599998</v>
      </c>
    </row>
    <row r="55" spans="1:5" x14ac:dyDescent="0.25">
      <c r="A55" t="s">
        <v>1125</v>
      </c>
      <c r="C55" s="4" t="s">
        <v>1122</v>
      </c>
      <c r="D55" t="s">
        <v>1098</v>
      </c>
      <c r="E55" t="s">
        <v>1128</v>
      </c>
    </row>
    <row r="56" spans="1:5" x14ac:dyDescent="0.25">
      <c r="C56" t="s">
        <v>1123</v>
      </c>
      <c r="D56" s="5">
        <v>3742481245.0099998</v>
      </c>
      <c r="E56" s="8">
        <v>0.92759807833715691</v>
      </c>
    </row>
    <row r="57" spans="1:5" x14ac:dyDescent="0.25">
      <c r="C57" t="s">
        <v>1124</v>
      </c>
      <c r="D57" s="5">
        <v>292112327.79999995</v>
      </c>
      <c r="E57" s="8">
        <v>7.2401921662843122E-2</v>
      </c>
    </row>
    <row r="58" spans="1:5" x14ac:dyDescent="0.25">
      <c r="C58" t="s">
        <v>1101</v>
      </c>
      <c r="D58" s="5">
        <v>4034593572.8099995</v>
      </c>
      <c r="E58" s="8">
        <v>1</v>
      </c>
    </row>
    <row r="64" spans="1:5" x14ac:dyDescent="0.25">
      <c r="C64" s="4" t="s">
        <v>1122</v>
      </c>
      <c r="D64" t="s">
        <v>1123</v>
      </c>
    </row>
    <row r="66" spans="1:4" x14ac:dyDescent="0.25">
      <c r="A66" t="s">
        <v>1126</v>
      </c>
      <c r="C66" s="4" t="s">
        <v>0</v>
      </c>
      <c r="D66" t="s">
        <v>1098</v>
      </c>
    </row>
    <row r="67" spans="1:4" x14ac:dyDescent="0.25">
      <c r="C67" t="s">
        <v>891</v>
      </c>
      <c r="D67" s="5">
        <v>21985540.600000001</v>
      </c>
    </row>
    <row r="68" spans="1:4" x14ac:dyDescent="0.25">
      <c r="C68" t="s">
        <v>209</v>
      </c>
      <c r="D68" s="5">
        <v>26075188.41</v>
      </c>
    </row>
    <row r="69" spans="1:4" x14ac:dyDescent="0.25">
      <c r="C69" t="s">
        <v>1009</v>
      </c>
      <c r="D69" s="5">
        <v>28734589.799999997</v>
      </c>
    </row>
    <row r="70" spans="1:4" x14ac:dyDescent="0.25">
      <c r="C70" t="s">
        <v>792</v>
      </c>
      <c r="D70" s="5">
        <v>19363748.34</v>
      </c>
    </row>
    <row r="71" spans="1:4" x14ac:dyDescent="0.25">
      <c r="C71" t="s">
        <v>375</v>
      </c>
      <c r="D71" s="5">
        <v>21572015</v>
      </c>
    </row>
    <row r="72" spans="1:4" x14ac:dyDescent="0.25">
      <c r="C72" t="s">
        <v>1101</v>
      </c>
      <c r="D72" s="5">
        <v>117731082.15000001</v>
      </c>
    </row>
    <row r="83" spans="1:5" x14ac:dyDescent="0.25">
      <c r="A83" t="s">
        <v>1127</v>
      </c>
      <c r="C83" s="4" t="s">
        <v>7</v>
      </c>
      <c r="D83" t="s">
        <v>1098</v>
      </c>
      <c r="E83" t="s">
        <v>1129</v>
      </c>
    </row>
    <row r="84" spans="1:5" x14ac:dyDescent="0.25">
      <c r="C84" t="s">
        <v>30</v>
      </c>
      <c r="D84" s="5">
        <v>1680635443.0899997</v>
      </c>
      <c r="E84" s="8">
        <v>0.41655631794393516</v>
      </c>
    </row>
    <row r="85" spans="1:5" x14ac:dyDescent="0.25">
      <c r="C85" t="s">
        <v>51</v>
      </c>
      <c r="D85" s="5">
        <v>828727473.03000009</v>
      </c>
      <c r="E85" s="8">
        <v>0.20540544123576016</v>
      </c>
    </row>
    <row r="86" spans="1:5" x14ac:dyDescent="0.25">
      <c r="C86" t="s">
        <v>15</v>
      </c>
      <c r="D86" s="5">
        <v>766110804.42999995</v>
      </c>
      <c r="E86" s="8">
        <v>0.18988549666885571</v>
      </c>
    </row>
    <row r="87" spans="1:5" x14ac:dyDescent="0.25">
      <c r="C87" t="s">
        <v>11</v>
      </c>
      <c r="D87" s="5">
        <v>759119852.26000011</v>
      </c>
      <c r="E87" s="8">
        <v>0.18815274415144892</v>
      </c>
    </row>
    <row r="88" spans="1:5" x14ac:dyDescent="0.25">
      <c r="C88" t="s">
        <v>1101</v>
      </c>
      <c r="D88" s="5">
        <v>4034593572.8099999</v>
      </c>
      <c r="E88" s="8">
        <v>1</v>
      </c>
    </row>
    <row r="97" spans="1:5" x14ac:dyDescent="0.25">
      <c r="C97" s="4" t="s">
        <v>7</v>
      </c>
      <c r="D97" t="s">
        <v>1098</v>
      </c>
      <c r="E97" t="s">
        <v>1131</v>
      </c>
    </row>
    <row r="98" spans="1:5" x14ac:dyDescent="0.25">
      <c r="A98" t="s">
        <v>1134</v>
      </c>
      <c r="C98" t="s">
        <v>30</v>
      </c>
      <c r="D98" s="5">
        <v>1680635443.0899997</v>
      </c>
      <c r="E98" s="8">
        <v>0.41655631794393516</v>
      </c>
    </row>
    <row r="99" spans="1:5" x14ac:dyDescent="0.25">
      <c r="C99" t="s">
        <v>11</v>
      </c>
      <c r="D99" s="5">
        <v>759119852.26000011</v>
      </c>
      <c r="E99" s="8">
        <v>0.18815274415144892</v>
      </c>
    </row>
    <row r="100" spans="1:5" x14ac:dyDescent="0.25">
      <c r="C100" t="s">
        <v>51</v>
      </c>
      <c r="D100" s="5">
        <v>828727473.03000009</v>
      </c>
      <c r="E100" s="8">
        <v>0.20540544123576016</v>
      </c>
    </row>
    <row r="101" spans="1:5" x14ac:dyDescent="0.25">
      <c r="C101" t="s">
        <v>15</v>
      </c>
      <c r="D101" s="5">
        <v>766110804.42999995</v>
      </c>
      <c r="E101" s="8">
        <v>0.18988549666885571</v>
      </c>
    </row>
    <row r="102" spans="1:5" x14ac:dyDescent="0.25">
      <c r="C102" t="s">
        <v>1101</v>
      </c>
      <c r="D102" s="5">
        <v>4034593572.8099999</v>
      </c>
      <c r="E102" s="8">
        <v>1</v>
      </c>
    </row>
    <row r="117" spans="1:7" x14ac:dyDescent="0.25">
      <c r="A117" t="s">
        <v>1135</v>
      </c>
      <c r="C117" s="4" t="s">
        <v>1098</v>
      </c>
      <c r="D117" s="4" t="s">
        <v>1086</v>
      </c>
    </row>
    <row r="118" spans="1:7" x14ac:dyDescent="0.25">
      <c r="C118" s="4" t="s">
        <v>1085</v>
      </c>
      <c r="D118" t="s">
        <v>1103</v>
      </c>
      <c r="E118" t="s">
        <v>1104</v>
      </c>
      <c r="F118" t="s">
        <v>1105</v>
      </c>
      <c r="G118" t="s">
        <v>1101</v>
      </c>
    </row>
    <row r="119" spans="1:7" x14ac:dyDescent="0.25">
      <c r="C119" t="s">
        <v>1107</v>
      </c>
      <c r="D119" s="5">
        <v>1424075.52</v>
      </c>
      <c r="E119" s="5">
        <v>190824767.58000001</v>
      </c>
      <c r="F119" s="5">
        <v>157263124.08000001</v>
      </c>
      <c r="G119" s="5">
        <v>349511967.18000007</v>
      </c>
    </row>
    <row r="120" spans="1:7" x14ac:dyDescent="0.25">
      <c r="C120" t="s">
        <v>1108</v>
      </c>
      <c r="D120" s="5">
        <v>40772204.659999996</v>
      </c>
      <c r="E120" s="5">
        <v>169898631.5</v>
      </c>
      <c r="F120" s="5">
        <v>143940267.50999999</v>
      </c>
      <c r="G120" s="5">
        <v>354611103.66999996</v>
      </c>
    </row>
    <row r="121" spans="1:7" x14ac:dyDescent="0.25">
      <c r="C121" t="s">
        <v>1109</v>
      </c>
      <c r="D121" s="5">
        <v>24406000.670000002</v>
      </c>
      <c r="E121" s="5">
        <v>220440721.25999999</v>
      </c>
      <c r="F121" s="5">
        <v>134450342.22999999</v>
      </c>
      <c r="G121" s="5">
        <v>379297064.15999997</v>
      </c>
    </row>
    <row r="122" spans="1:7" x14ac:dyDescent="0.25">
      <c r="C122" t="s">
        <v>1110</v>
      </c>
      <c r="D122" s="5">
        <v>22756269.66</v>
      </c>
      <c r="E122" s="5">
        <v>159452283.73999998</v>
      </c>
      <c r="F122" s="5">
        <v>154412256.93999997</v>
      </c>
      <c r="G122" s="5">
        <v>336620810.33999991</v>
      </c>
    </row>
    <row r="123" spans="1:7" x14ac:dyDescent="0.25">
      <c r="C123" t="s">
        <v>1111</v>
      </c>
      <c r="D123" s="5">
        <v>25946803.549999997</v>
      </c>
      <c r="E123" s="5">
        <v>190114322.75000006</v>
      </c>
      <c r="F123" s="5">
        <v>156990968.65000001</v>
      </c>
      <c r="G123" s="5">
        <v>373052094.95000005</v>
      </c>
    </row>
    <row r="124" spans="1:7" x14ac:dyDescent="0.25">
      <c r="C124" t="s">
        <v>1112</v>
      </c>
      <c r="D124" s="5">
        <v>29327925.359999999</v>
      </c>
      <c r="E124" s="5">
        <v>166585235.47999999</v>
      </c>
      <c r="F124" s="5">
        <v>84449834.090000004</v>
      </c>
      <c r="G124" s="5">
        <v>280362994.92999995</v>
      </c>
    </row>
    <row r="125" spans="1:7" x14ac:dyDescent="0.25">
      <c r="C125" t="s">
        <v>1113</v>
      </c>
      <c r="D125" s="5">
        <v>76703436.610000014</v>
      </c>
      <c r="E125" s="5">
        <v>217909596.40000001</v>
      </c>
      <c r="F125" s="5">
        <v>3396215.2600000002</v>
      </c>
      <c r="G125" s="5">
        <v>298009248.26999998</v>
      </c>
    </row>
    <row r="126" spans="1:7" x14ac:dyDescent="0.25">
      <c r="C126" t="s">
        <v>1114</v>
      </c>
      <c r="D126" s="5">
        <v>108155756.61</v>
      </c>
      <c r="E126" s="5">
        <v>147863661.69</v>
      </c>
      <c r="F126" s="5">
        <v>46040056.889999993</v>
      </c>
      <c r="G126" s="5">
        <v>302059475.19</v>
      </c>
    </row>
    <row r="127" spans="1:7" x14ac:dyDescent="0.25">
      <c r="C127" t="s">
        <v>1115</v>
      </c>
      <c r="D127" s="5">
        <v>52036712.270000011</v>
      </c>
      <c r="E127" s="5">
        <v>183214309.19999996</v>
      </c>
      <c r="F127" s="5">
        <v>24285204.419999998</v>
      </c>
      <c r="G127" s="5">
        <v>259536225.88999996</v>
      </c>
    </row>
    <row r="128" spans="1:7" x14ac:dyDescent="0.25">
      <c r="C128" t="s">
        <v>1116</v>
      </c>
      <c r="D128" s="5">
        <v>205912102.83999997</v>
      </c>
      <c r="E128" s="5">
        <v>175917774.77999997</v>
      </c>
      <c r="F128" s="5">
        <v>53993135.769999996</v>
      </c>
      <c r="G128" s="5">
        <v>435823013.38999993</v>
      </c>
    </row>
    <row r="129" spans="1:16" x14ac:dyDescent="0.25">
      <c r="C129" t="s">
        <v>1117</v>
      </c>
      <c r="D129" s="5">
        <v>128792403.13999999</v>
      </c>
      <c r="E129" s="5">
        <v>187984376.63999999</v>
      </c>
      <c r="F129" s="5">
        <v>46368411.180000007</v>
      </c>
      <c r="G129" s="5">
        <v>363145190.95999998</v>
      </c>
    </row>
    <row r="130" spans="1:16" x14ac:dyDescent="0.25">
      <c r="C130" t="s">
        <v>1118</v>
      </c>
      <c r="D130" s="5">
        <v>90636817.88000001</v>
      </c>
      <c r="E130" s="5">
        <v>193977471.78999999</v>
      </c>
      <c r="F130" s="5">
        <v>17950094.210000001</v>
      </c>
      <c r="G130" s="5">
        <v>302564383.88</v>
      </c>
    </row>
    <row r="131" spans="1:16" x14ac:dyDescent="0.25">
      <c r="C131" t="s">
        <v>1101</v>
      </c>
      <c r="D131" s="5">
        <v>806870508.76999998</v>
      </c>
      <c r="E131" s="5">
        <v>2204183152.8100004</v>
      </c>
      <c r="F131" s="5">
        <v>1023539911.23</v>
      </c>
      <c r="G131" s="5">
        <v>4034593572.8099999</v>
      </c>
    </row>
    <row r="137" spans="1:16" ht="15.75" thickBot="1" x14ac:dyDescent="0.3">
      <c r="A137" t="s">
        <v>1136</v>
      </c>
      <c r="C137" s="4" t="s">
        <v>2</v>
      </c>
      <c r="D137" t="s">
        <v>1099</v>
      </c>
      <c r="E137" t="s">
        <v>1132</v>
      </c>
      <c r="F137" t="s">
        <v>1098</v>
      </c>
    </row>
    <row r="138" spans="1:16" x14ac:dyDescent="0.25">
      <c r="C138" t="s">
        <v>29</v>
      </c>
      <c r="D138" s="7">
        <v>2885</v>
      </c>
      <c r="E138" s="6">
        <v>134380.41230769231</v>
      </c>
      <c r="F138" s="6">
        <v>384517755.20999992</v>
      </c>
      <c r="H138" s="11"/>
      <c r="I138" s="11" t="s">
        <v>29</v>
      </c>
      <c r="J138" s="11" t="s">
        <v>59</v>
      </c>
      <c r="K138" s="11" t="s">
        <v>14</v>
      </c>
      <c r="L138" s="11" t="s">
        <v>19</v>
      </c>
      <c r="M138" s="11" t="s">
        <v>50</v>
      </c>
      <c r="N138" s="11" t="s">
        <v>76</v>
      </c>
      <c r="O138" s="11" t="s">
        <v>98</v>
      </c>
      <c r="P138" s="11" t="s">
        <v>25</v>
      </c>
    </row>
    <row r="139" spans="1:16" x14ac:dyDescent="0.25">
      <c r="C139" t="s">
        <v>59</v>
      </c>
      <c r="D139" s="7">
        <v>2777</v>
      </c>
      <c r="E139" s="6">
        <v>150733.47355932195</v>
      </c>
      <c r="F139" s="6">
        <v>401620024.94</v>
      </c>
      <c r="H139" s="9" t="s">
        <v>29</v>
      </c>
      <c r="I139" s="9">
        <v>1</v>
      </c>
      <c r="J139" s="9"/>
      <c r="K139" s="9"/>
      <c r="L139" s="9"/>
      <c r="M139" s="9"/>
      <c r="N139" s="9"/>
      <c r="O139" s="9"/>
      <c r="P139" s="9"/>
    </row>
    <row r="140" spans="1:16" x14ac:dyDescent="0.25">
      <c r="C140" t="s">
        <v>14</v>
      </c>
      <c r="D140" s="7">
        <v>2792</v>
      </c>
      <c r="E140" s="6">
        <v>157103.68982456138</v>
      </c>
      <c r="F140" s="6">
        <v>434915632.62999994</v>
      </c>
      <c r="H140" s="9" t="s">
        <v>59</v>
      </c>
      <c r="I140" s="9">
        <v>0.99999999973797382</v>
      </c>
      <c r="J140" s="9">
        <v>1</v>
      </c>
      <c r="K140" s="9"/>
      <c r="L140" s="9"/>
      <c r="M140" s="9"/>
      <c r="N140" s="9"/>
      <c r="O140" s="9"/>
      <c r="P140" s="9"/>
    </row>
    <row r="141" spans="1:16" x14ac:dyDescent="0.25">
      <c r="C141" t="s">
        <v>19</v>
      </c>
      <c r="D141" s="7">
        <v>4364</v>
      </c>
      <c r="E141" s="6">
        <v>168806.76617977527</v>
      </c>
      <c r="F141" s="6">
        <v>735433620.33000004</v>
      </c>
      <c r="H141" s="9" t="s">
        <v>14</v>
      </c>
      <c r="I141" s="9">
        <v>0.99999999993819833</v>
      </c>
      <c r="J141" s="9">
        <v>0.99999999993068067</v>
      </c>
      <c r="K141" s="9">
        <v>1</v>
      </c>
      <c r="L141" s="9"/>
      <c r="M141" s="9"/>
      <c r="N141" s="9"/>
      <c r="O141" s="9"/>
      <c r="P141" s="9"/>
    </row>
    <row r="142" spans="1:16" x14ac:dyDescent="0.25">
      <c r="C142" t="s">
        <v>50</v>
      </c>
      <c r="D142" s="7">
        <v>2981</v>
      </c>
      <c r="E142" s="6">
        <v>148868.6180597014</v>
      </c>
      <c r="F142" s="6">
        <v>443304506.38999993</v>
      </c>
      <c r="H142" s="9" t="s">
        <v>19</v>
      </c>
      <c r="I142" s="9">
        <v>0.99999999474216528</v>
      </c>
      <c r="J142" s="9">
        <v>0.99999999213263668</v>
      </c>
      <c r="K142" s="9">
        <v>0.99999999354028624</v>
      </c>
      <c r="L142" s="9">
        <v>1</v>
      </c>
      <c r="M142" s="9"/>
      <c r="N142" s="9"/>
      <c r="O142" s="9"/>
      <c r="P142" s="9"/>
    </row>
    <row r="143" spans="1:16" x14ac:dyDescent="0.25">
      <c r="C143" t="s">
        <v>76</v>
      </c>
      <c r="D143" s="7">
        <v>3112</v>
      </c>
      <c r="E143" s="6">
        <v>153068.92774647888</v>
      </c>
      <c r="F143" s="6">
        <v>490481030.85000008</v>
      </c>
      <c r="H143" s="9" t="s">
        <v>50</v>
      </c>
      <c r="I143" s="9">
        <v>0.99999999993770905</v>
      </c>
      <c r="J143" s="9">
        <v>0.99999999942016837</v>
      </c>
      <c r="K143" s="9">
        <v>0.99999999975181519</v>
      </c>
      <c r="L143" s="9">
        <v>0.99999999582445398</v>
      </c>
      <c r="M143" s="9">
        <v>1</v>
      </c>
      <c r="N143" s="9"/>
      <c r="O143" s="9"/>
      <c r="P143" s="9"/>
    </row>
    <row r="144" spans="1:16" x14ac:dyDescent="0.25">
      <c r="C144" t="s">
        <v>98</v>
      </c>
      <c r="D144" s="7">
        <v>2851</v>
      </c>
      <c r="E144" s="6">
        <v>173245.70052631575</v>
      </c>
      <c r="F144" s="6">
        <v>508493452.91000009</v>
      </c>
      <c r="H144" s="9" t="s">
        <v>76</v>
      </c>
      <c r="I144" s="9">
        <v>0.99999999950714946</v>
      </c>
      <c r="J144" s="9">
        <v>0.99999999852640253</v>
      </c>
      <c r="K144" s="9">
        <v>0.99999999909629711</v>
      </c>
      <c r="L144" s="9">
        <v>0.99999999746883395</v>
      </c>
      <c r="M144" s="9">
        <v>0.99999999979528764</v>
      </c>
      <c r="N144" s="9">
        <v>1</v>
      </c>
      <c r="O144" s="9"/>
      <c r="P144" s="9"/>
    </row>
    <row r="145" spans="3:16" x14ac:dyDescent="0.25">
      <c r="C145" t="s">
        <v>25</v>
      </c>
      <c r="D145" s="7">
        <v>4066</v>
      </c>
      <c r="E145" s="6">
        <v>156660.84141176473</v>
      </c>
      <c r="F145" s="6">
        <v>635827549.55000007</v>
      </c>
      <c r="H145" s="9" t="s">
        <v>98</v>
      </c>
      <c r="I145" s="9">
        <v>0.99999999998224554</v>
      </c>
      <c r="J145" s="9">
        <v>0.99999999958380703</v>
      </c>
      <c r="K145" s="9">
        <v>0.9999999998541943</v>
      </c>
      <c r="L145" s="9">
        <v>0.99999999533547268</v>
      </c>
      <c r="M145" s="9">
        <v>0.99999999998646572</v>
      </c>
      <c r="N145" s="9">
        <v>0.99999999967648023</v>
      </c>
      <c r="O145" s="9">
        <v>1</v>
      </c>
      <c r="P145" s="9"/>
    </row>
    <row r="146" spans="3:16" ht="15.75" thickBot="1" x14ac:dyDescent="0.3">
      <c r="C146" t="s">
        <v>1101</v>
      </c>
      <c r="D146" s="7">
        <v>25828</v>
      </c>
      <c r="E146" s="6">
        <v>155709.05814545468</v>
      </c>
      <c r="F146" s="6">
        <v>4034593572.8100023</v>
      </c>
      <c r="H146" s="10" t="s">
        <v>25</v>
      </c>
      <c r="I146" s="10">
        <v>0.99999999609761914</v>
      </c>
      <c r="J146" s="10">
        <v>0.99999999381319171</v>
      </c>
      <c r="K146" s="10">
        <v>0.99999999505362724</v>
      </c>
      <c r="L146" s="10">
        <v>0.99999999989916055</v>
      </c>
      <c r="M146" s="10">
        <v>0.99999999702139764</v>
      </c>
      <c r="N146" s="10">
        <v>0.99999999837842335</v>
      </c>
      <c r="O146" s="10">
        <v>0.99999999660630212</v>
      </c>
      <c r="P146" s="10">
        <v>1</v>
      </c>
    </row>
    <row r="147" spans="3:16" x14ac:dyDescent="0.25">
      <c r="H147" s="9" t="s">
        <v>1133</v>
      </c>
      <c r="I147" s="9"/>
      <c r="J147" s="9"/>
      <c r="K147" s="9"/>
      <c r="L147" s="9"/>
      <c r="M147" s="9"/>
    </row>
    <row r="148" spans="3:16" x14ac:dyDescent="0.25">
      <c r="E148" s="6"/>
      <c r="F148" s="6"/>
      <c r="H148" s="9"/>
      <c r="I148" s="9"/>
      <c r="J148" s="9"/>
      <c r="K148" s="9"/>
      <c r="L148" s="9"/>
      <c r="M148" s="9"/>
    </row>
    <row r="151" spans="3:16" x14ac:dyDescent="0.25">
      <c r="C151" s="4" t="s">
        <v>2</v>
      </c>
      <c r="D151" t="s">
        <v>1098</v>
      </c>
    </row>
    <row r="152" spans="3:16" x14ac:dyDescent="0.25">
      <c r="C152" t="s">
        <v>19</v>
      </c>
      <c r="D152" s="5">
        <v>735433620.33000004</v>
      </c>
    </row>
    <row r="153" spans="3:16" x14ac:dyDescent="0.25">
      <c r="C153" t="s">
        <v>25</v>
      </c>
      <c r="D153" s="5">
        <v>635827549.55000007</v>
      </c>
    </row>
    <row r="154" spans="3:16" x14ac:dyDescent="0.25">
      <c r="C154" t="s">
        <v>98</v>
      </c>
      <c r="D154" s="5">
        <v>508493452.91000009</v>
      </c>
    </row>
    <row r="155" spans="3:16" x14ac:dyDescent="0.25">
      <c r="C155" t="s">
        <v>76</v>
      </c>
      <c r="D155" s="5">
        <v>490481030.85000008</v>
      </c>
    </row>
    <row r="156" spans="3:16" x14ac:dyDescent="0.25">
      <c r="C156" t="s">
        <v>50</v>
      </c>
      <c r="D156" s="5">
        <v>443304506.38999993</v>
      </c>
    </row>
    <row r="157" spans="3:16" x14ac:dyDescent="0.25">
      <c r="C157" t="s">
        <v>14</v>
      </c>
      <c r="D157" s="5">
        <v>434915632.62999994</v>
      </c>
    </row>
    <row r="158" spans="3:16" x14ac:dyDescent="0.25">
      <c r="C158" t="s">
        <v>59</v>
      </c>
      <c r="D158" s="5">
        <v>401620024.94</v>
      </c>
    </row>
    <row r="159" spans="3:16" x14ac:dyDescent="0.25">
      <c r="C159" t="s">
        <v>29</v>
      </c>
      <c r="D159" s="5">
        <v>384517755.20999992</v>
      </c>
    </row>
    <row r="160" spans="3:16" x14ac:dyDescent="0.25">
      <c r="C160" t="s">
        <v>1101</v>
      </c>
      <c r="D160" s="5">
        <v>4034593572.8099995</v>
      </c>
    </row>
  </sheetData>
  <conditionalFormatting sqref="H138:P146">
    <cfRule type="colorScale" priority="2">
      <colorScale>
        <cfvo type="num" val="-1"/>
        <cfvo type="percentile" val="50"/>
        <cfvo type="num" val="1"/>
        <color rgb="FFF8696B"/>
        <color rgb="FFFFEB84"/>
        <color rgb="FF63BE7B"/>
      </colorScale>
    </cfRule>
  </conditionalFormatting>
  <conditionalFormatting sqref="C161:D189 I149:I179 H180:I189 C149:C150">
    <cfRule type="colorScale" priority="1">
      <colorScale>
        <cfvo type="min"/>
        <cfvo type="percentile" val="50"/>
        <cfvo type="max"/>
        <color rgb="FFF8696B"/>
        <color rgb="FFFFEB84"/>
        <color rgb="FF63BE7B"/>
      </colorScale>
    </cfRule>
  </conditionalFormatting>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0AF7-65D1-4D67-A2FF-1803C5DAE973}">
  <dimension ref="A1"/>
  <sheetViews>
    <sheetView topLeftCell="A4" zoomScale="70" zoomScaleNormal="70"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E86A-C661-4707-9CEE-314F58ED5F3A}">
  <dimension ref="A1:L551"/>
  <sheetViews>
    <sheetView topLeftCell="A4" workbookViewId="0">
      <selection activeCell="B3" sqref="B3"/>
    </sheetView>
  </sheetViews>
  <sheetFormatPr defaultRowHeight="15" x14ac:dyDescent="0.25"/>
  <cols>
    <col min="1" max="1" width="20.85546875" bestFit="1" customWidth="1"/>
    <col min="2" max="2" width="20.85546875" customWidth="1"/>
    <col min="3" max="3" width="10.7109375" bestFit="1" customWidth="1"/>
    <col min="4" max="4" width="12.140625" bestFit="1" customWidth="1"/>
    <col min="5" max="5" width="12.28515625" bestFit="1" customWidth="1"/>
    <col min="6" max="7" width="12" bestFit="1" customWidth="1"/>
    <col min="8" max="8" width="11.5703125" bestFit="1" customWidth="1"/>
    <col min="9" max="9" width="9.28515625" bestFit="1" customWidth="1"/>
    <col min="10" max="10" width="7.28515625" bestFit="1" customWidth="1"/>
    <col min="11" max="11" width="15.7109375" bestFit="1" customWidth="1"/>
    <col min="12" max="12" width="38.42578125" bestFit="1" customWidth="1"/>
  </cols>
  <sheetData>
    <row r="1" spans="1:12" x14ac:dyDescent="0.25">
      <c r="A1" t="s">
        <v>0</v>
      </c>
      <c r="B1" t="s">
        <v>1122</v>
      </c>
      <c r="C1" t="s">
        <v>1</v>
      </c>
      <c r="D1" t="s">
        <v>2</v>
      </c>
      <c r="E1" t="s">
        <v>3</v>
      </c>
      <c r="F1" t="s">
        <v>4</v>
      </c>
      <c r="G1" t="s">
        <v>5</v>
      </c>
      <c r="H1" t="s">
        <v>6</v>
      </c>
      <c r="I1" t="s">
        <v>1085</v>
      </c>
      <c r="J1" t="s">
        <v>1086</v>
      </c>
      <c r="K1" t="s">
        <v>7</v>
      </c>
      <c r="L1" t="s">
        <v>8</v>
      </c>
    </row>
    <row r="2" spans="1:12" x14ac:dyDescent="0.25">
      <c r="A2" t="s">
        <v>987</v>
      </c>
      <c r="B2" t="str">
        <f t="shared" ref="B2:B65" si="0">IF(A2="Unknown","Unidentified","Identified")</f>
        <v>Identified</v>
      </c>
      <c r="C2" t="s">
        <v>57</v>
      </c>
      <c r="D2" t="s">
        <v>19</v>
      </c>
      <c r="E2">
        <v>47</v>
      </c>
      <c r="F2">
        <v>195143.39</v>
      </c>
      <c r="G2">
        <f t="shared" ref="G2:G65" si="1">F2*E2</f>
        <v>9171739.3300000001</v>
      </c>
      <c r="H2" s="1">
        <v>45716</v>
      </c>
      <c r="I2" s="1" t="str">
        <f t="shared" ref="I2:I65" si="2">TEXT(H2,"MMM")</f>
        <v>Feb</v>
      </c>
      <c r="J2" s="1" t="str">
        <f t="shared" ref="J2:J65" si="3">TEXT(H2,"YYYY")</f>
        <v>2025</v>
      </c>
      <c r="K2" t="s">
        <v>51</v>
      </c>
      <c r="L2" t="s">
        <v>988</v>
      </c>
    </row>
    <row r="3" spans="1:12" x14ac:dyDescent="0.25">
      <c r="A3" t="s">
        <v>252</v>
      </c>
      <c r="B3" t="str">
        <f t="shared" si="0"/>
        <v>Identified</v>
      </c>
      <c r="C3" t="s">
        <v>46</v>
      </c>
      <c r="D3" t="s">
        <v>29</v>
      </c>
      <c r="E3">
        <v>47</v>
      </c>
      <c r="F3">
        <v>81850.63</v>
      </c>
      <c r="G3">
        <f t="shared" si="1"/>
        <v>3846979.6100000003</v>
      </c>
      <c r="H3" s="1">
        <v>45595</v>
      </c>
      <c r="I3" s="1" t="str">
        <f t="shared" si="2"/>
        <v>Oct</v>
      </c>
      <c r="J3" s="1" t="str">
        <f t="shared" si="3"/>
        <v>2024</v>
      </c>
      <c r="K3" t="s">
        <v>30</v>
      </c>
      <c r="L3" t="s">
        <v>253</v>
      </c>
    </row>
    <row r="4" spans="1:12" x14ac:dyDescent="0.25">
      <c r="A4" t="s">
        <v>35</v>
      </c>
      <c r="B4" t="str">
        <f t="shared" si="0"/>
        <v>Identified</v>
      </c>
      <c r="C4" t="s">
        <v>36</v>
      </c>
      <c r="D4" t="s">
        <v>19</v>
      </c>
      <c r="E4">
        <v>47</v>
      </c>
      <c r="F4">
        <v>252859.28</v>
      </c>
      <c r="G4">
        <f t="shared" si="1"/>
        <v>11884386.16</v>
      </c>
      <c r="H4" s="1">
        <v>45391</v>
      </c>
      <c r="I4" s="1" t="str">
        <f t="shared" si="2"/>
        <v>Apr</v>
      </c>
      <c r="J4" s="1" t="str">
        <f t="shared" si="3"/>
        <v>2024</v>
      </c>
      <c r="K4" t="s">
        <v>11</v>
      </c>
      <c r="L4" t="s">
        <v>37</v>
      </c>
    </row>
    <row r="5" spans="1:12" x14ac:dyDescent="0.25">
      <c r="A5" t="s">
        <v>842</v>
      </c>
      <c r="B5" t="str">
        <f t="shared" si="0"/>
        <v>Identified</v>
      </c>
      <c r="C5" t="s">
        <v>119</v>
      </c>
      <c r="D5" t="s">
        <v>14</v>
      </c>
      <c r="E5">
        <v>16</v>
      </c>
      <c r="F5">
        <v>5357.86</v>
      </c>
      <c r="G5">
        <f t="shared" si="1"/>
        <v>85725.759999999995</v>
      </c>
      <c r="H5" s="1">
        <v>45309</v>
      </c>
      <c r="I5" s="1" t="str">
        <f t="shared" si="2"/>
        <v>Jan</v>
      </c>
      <c r="J5" s="1" t="str">
        <f t="shared" si="3"/>
        <v>2024</v>
      </c>
      <c r="K5" t="s">
        <v>30</v>
      </c>
      <c r="L5" t="s">
        <v>843</v>
      </c>
    </row>
    <row r="6" spans="1:12" x14ac:dyDescent="0.25">
      <c r="A6" t="s">
        <v>462</v>
      </c>
      <c r="B6" t="str">
        <f t="shared" si="0"/>
        <v>Identified</v>
      </c>
      <c r="C6" t="s">
        <v>87</v>
      </c>
      <c r="D6" t="s">
        <v>19</v>
      </c>
      <c r="E6">
        <v>47</v>
      </c>
      <c r="F6">
        <v>112400.64</v>
      </c>
      <c r="G6">
        <f t="shared" si="1"/>
        <v>5282830.08</v>
      </c>
      <c r="H6" s="1">
        <v>45800</v>
      </c>
      <c r="I6" s="1" t="str">
        <f t="shared" si="2"/>
        <v>May</v>
      </c>
      <c r="J6" s="1" t="str">
        <f t="shared" si="3"/>
        <v>2025</v>
      </c>
      <c r="K6" t="s">
        <v>11</v>
      </c>
      <c r="L6" t="s">
        <v>463</v>
      </c>
    </row>
    <row r="7" spans="1:12" x14ac:dyDescent="0.25">
      <c r="A7" t="s">
        <v>237</v>
      </c>
      <c r="B7" t="str">
        <f t="shared" si="0"/>
        <v>Identified</v>
      </c>
      <c r="C7" t="s">
        <v>28</v>
      </c>
      <c r="D7" t="s">
        <v>50</v>
      </c>
      <c r="E7">
        <v>47</v>
      </c>
      <c r="F7">
        <v>277240.88</v>
      </c>
      <c r="G7">
        <f t="shared" si="1"/>
        <v>13030321.359999999</v>
      </c>
      <c r="H7" s="1">
        <v>45312</v>
      </c>
      <c r="I7" s="1" t="str">
        <f t="shared" si="2"/>
        <v>Jan</v>
      </c>
      <c r="J7" s="1" t="str">
        <f t="shared" si="3"/>
        <v>2024</v>
      </c>
      <c r="K7" t="s">
        <v>30</v>
      </c>
      <c r="L7" t="s">
        <v>238</v>
      </c>
    </row>
    <row r="8" spans="1:12" x14ac:dyDescent="0.25">
      <c r="A8" t="s">
        <v>838</v>
      </c>
      <c r="B8" t="str">
        <f t="shared" si="0"/>
        <v>Identified</v>
      </c>
      <c r="C8" t="s">
        <v>57</v>
      </c>
      <c r="D8" t="s">
        <v>50</v>
      </c>
      <c r="E8">
        <v>47</v>
      </c>
      <c r="F8">
        <v>259293.41</v>
      </c>
      <c r="G8">
        <f t="shared" si="1"/>
        <v>12186790.27</v>
      </c>
      <c r="H8" s="1">
        <v>45494</v>
      </c>
      <c r="I8" s="1" t="str">
        <f t="shared" si="2"/>
        <v>Jul</v>
      </c>
      <c r="J8" s="1" t="str">
        <f t="shared" si="3"/>
        <v>2024</v>
      </c>
      <c r="K8" t="s">
        <v>11</v>
      </c>
      <c r="L8" t="s">
        <v>839</v>
      </c>
    </row>
    <row r="9" spans="1:12" x14ac:dyDescent="0.25">
      <c r="A9" t="s">
        <v>415</v>
      </c>
      <c r="B9" t="str">
        <f t="shared" si="0"/>
        <v>Identified</v>
      </c>
      <c r="C9" t="s">
        <v>22</v>
      </c>
      <c r="D9" t="s">
        <v>50</v>
      </c>
      <c r="E9">
        <v>57</v>
      </c>
      <c r="F9">
        <v>155709.06</v>
      </c>
      <c r="G9">
        <f t="shared" si="1"/>
        <v>8875416.4199999999</v>
      </c>
      <c r="H9" s="1">
        <v>45227</v>
      </c>
      <c r="I9" s="1" t="str">
        <f t="shared" si="2"/>
        <v>Oct</v>
      </c>
      <c r="J9" s="1" t="str">
        <f t="shared" si="3"/>
        <v>2023</v>
      </c>
      <c r="K9" t="s">
        <v>15</v>
      </c>
      <c r="L9" t="s">
        <v>416</v>
      </c>
    </row>
    <row r="10" spans="1:12" x14ac:dyDescent="0.25">
      <c r="A10" t="s">
        <v>975</v>
      </c>
      <c r="B10" t="str">
        <f t="shared" si="0"/>
        <v>Identified</v>
      </c>
      <c r="C10" t="s">
        <v>46</v>
      </c>
      <c r="D10" t="s">
        <v>14</v>
      </c>
      <c r="E10">
        <v>47</v>
      </c>
      <c r="F10">
        <v>155584.85</v>
      </c>
      <c r="G10">
        <f t="shared" si="1"/>
        <v>7312487.9500000002</v>
      </c>
      <c r="H10" s="1">
        <v>45195</v>
      </c>
      <c r="I10" s="1" t="str">
        <f t="shared" si="2"/>
        <v>Sep</v>
      </c>
      <c r="J10" s="1" t="str">
        <f t="shared" si="3"/>
        <v>2023</v>
      </c>
      <c r="K10" t="s">
        <v>51</v>
      </c>
      <c r="L10" t="s">
        <v>1087</v>
      </c>
    </row>
    <row r="11" spans="1:12" x14ac:dyDescent="0.25">
      <c r="A11" t="s">
        <v>426</v>
      </c>
      <c r="B11" t="str">
        <f t="shared" si="0"/>
        <v>Identified</v>
      </c>
      <c r="C11" t="s">
        <v>22</v>
      </c>
      <c r="D11" t="s">
        <v>25</v>
      </c>
      <c r="E11">
        <v>47</v>
      </c>
      <c r="F11">
        <v>71272.62</v>
      </c>
      <c r="G11">
        <f t="shared" si="1"/>
        <v>3349813.1399999997</v>
      </c>
      <c r="H11" s="1">
        <v>45595</v>
      </c>
      <c r="I11" s="1" t="str">
        <f t="shared" si="2"/>
        <v>Oct</v>
      </c>
      <c r="J11" s="1" t="str">
        <f t="shared" si="3"/>
        <v>2024</v>
      </c>
      <c r="K11" t="s">
        <v>11</v>
      </c>
      <c r="L11" t="s">
        <v>1087</v>
      </c>
    </row>
    <row r="12" spans="1:12" x14ac:dyDescent="0.25">
      <c r="A12" t="s">
        <v>978</v>
      </c>
      <c r="B12" t="str">
        <f t="shared" si="0"/>
        <v>Identified</v>
      </c>
      <c r="C12" t="s">
        <v>66</v>
      </c>
      <c r="D12" t="s">
        <v>14</v>
      </c>
      <c r="E12">
        <v>78</v>
      </c>
      <c r="F12">
        <v>209322.28</v>
      </c>
      <c r="G12">
        <f t="shared" si="1"/>
        <v>16327137.84</v>
      </c>
      <c r="H12" s="1">
        <v>45374</v>
      </c>
      <c r="I12" s="1" t="str">
        <f t="shared" si="2"/>
        <v>Mar</v>
      </c>
      <c r="J12" s="1" t="str">
        <f t="shared" si="3"/>
        <v>2024</v>
      </c>
      <c r="K12" t="s">
        <v>11</v>
      </c>
      <c r="L12" t="s">
        <v>979</v>
      </c>
    </row>
    <row r="13" spans="1:12" x14ac:dyDescent="0.25">
      <c r="A13" t="s">
        <v>456</v>
      </c>
      <c r="B13" t="str">
        <f t="shared" si="0"/>
        <v>Identified</v>
      </c>
      <c r="C13" t="s">
        <v>36</v>
      </c>
      <c r="D13" t="s">
        <v>14</v>
      </c>
      <c r="E13">
        <v>92</v>
      </c>
      <c r="F13">
        <v>143715.48000000001</v>
      </c>
      <c r="G13">
        <f t="shared" si="1"/>
        <v>13221824.16</v>
      </c>
      <c r="H13" s="1">
        <v>45517</v>
      </c>
      <c r="I13" s="1" t="str">
        <f t="shared" si="2"/>
        <v>Aug</v>
      </c>
      <c r="J13" s="1" t="str">
        <f t="shared" si="3"/>
        <v>2024</v>
      </c>
      <c r="K13" t="s">
        <v>11</v>
      </c>
      <c r="L13" t="s">
        <v>457</v>
      </c>
    </row>
    <row r="14" spans="1:12" x14ac:dyDescent="0.25">
      <c r="A14" t="s">
        <v>809</v>
      </c>
      <c r="B14" t="str">
        <f t="shared" si="0"/>
        <v>Identified</v>
      </c>
      <c r="C14" t="s">
        <v>22</v>
      </c>
      <c r="D14" t="s">
        <v>25</v>
      </c>
      <c r="E14">
        <v>47</v>
      </c>
      <c r="F14">
        <v>96823.7</v>
      </c>
      <c r="G14">
        <f t="shared" si="1"/>
        <v>4550713.8999999994</v>
      </c>
      <c r="H14" s="1">
        <v>45329</v>
      </c>
      <c r="I14" s="1" t="str">
        <f t="shared" si="2"/>
        <v>Feb</v>
      </c>
      <c r="J14" s="1" t="str">
        <f t="shared" si="3"/>
        <v>2024</v>
      </c>
      <c r="K14" t="s">
        <v>30</v>
      </c>
      <c r="L14" t="s">
        <v>810</v>
      </c>
    </row>
    <row r="15" spans="1:12" x14ac:dyDescent="0.25">
      <c r="A15" t="s">
        <v>12</v>
      </c>
      <c r="B15" t="str">
        <f t="shared" si="0"/>
        <v>Identified</v>
      </c>
      <c r="C15" t="s">
        <v>13</v>
      </c>
      <c r="D15" t="s">
        <v>14</v>
      </c>
      <c r="E15">
        <v>47</v>
      </c>
      <c r="F15">
        <v>267992.94</v>
      </c>
      <c r="G15">
        <f t="shared" si="1"/>
        <v>12595668.18</v>
      </c>
      <c r="H15" s="1">
        <v>45366</v>
      </c>
      <c r="I15" s="1" t="str">
        <f t="shared" si="2"/>
        <v>Mar</v>
      </c>
      <c r="J15" s="1" t="str">
        <f t="shared" si="3"/>
        <v>2024</v>
      </c>
      <c r="K15" t="s">
        <v>15</v>
      </c>
      <c r="L15" t="s">
        <v>16</v>
      </c>
    </row>
    <row r="16" spans="1:12" x14ac:dyDescent="0.25">
      <c r="A16" t="s">
        <v>749</v>
      </c>
      <c r="B16" t="str">
        <f t="shared" si="0"/>
        <v>Identified</v>
      </c>
      <c r="C16" t="s">
        <v>28</v>
      </c>
      <c r="D16" t="s">
        <v>19</v>
      </c>
      <c r="E16">
        <v>47</v>
      </c>
      <c r="F16">
        <v>24181.59</v>
      </c>
      <c r="G16">
        <f t="shared" si="1"/>
        <v>1136534.73</v>
      </c>
      <c r="H16" s="1">
        <v>45089</v>
      </c>
      <c r="I16" s="1" t="str">
        <f t="shared" si="2"/>
        <v>Jun</v>
      </c>
      <c r="J16" s="1" t="str">
        <f t="shared" si="3"/>
        <v>2023</v>
      </c>
      <c r="K16" t="s">
        <v>51</v>
      </c>
      <c r="L16" t="s">
        <v>750</v>
      </c>
    </row>
    <row r="17" spans="1:12" x14ac:dyDescent="0.25">
      <c r="A17" t="s">
        <v>399</v>
      </c>
      <c r="B17" t="str">
        <f t="shared" si="0"/>
        <v>Identified</v>
      </c>
      <c r="C17" t="s">
        <v>57</v>
      </c>
      <c r="D17" t="s">
        <v>29</v>
      </c>
      <c r="E17">
        <v>47</v>
      </c>
      <c r="F17">
        <v>120549.56</v>
      </c>
      <c r="G17">
        <f t="shared" si="1"/>
        <v>5665829.3200000003</v>
      </c>
      <c r="H17" s="1">
        <v>45554</v>
      </c>
      <c r="I17" s="1" t="str">
        <f t="shared" si="2"/>
        <v>Sep</v>
      </c>
      <c r="J17" s="1" t="str">
        <f t="shared" si="3"/>
        <v>2024</v>
      </c>
      <c r="K17" t="s">
        <v>30</v>
      </c>
      <c r="L17" t="s">
        <v>400</v>
      </c>
    </row>
    <row r="18" spans="1:12" x14ac:dyDescent="0.25">
      <c r="A18" t="s">
        <v>397</v>
      </c>
      <c r="B18" t="str">
        <f t="shared" si="0"/>
        <v>Identified</v>
      </c>
      <c r="C18" t="s">
        <v>36</v>
      </c>
      <c r="D18" t="s">
        <v>50</v>
      </c>
      <c r="E18">
        <v>10</v>
      </c>
      <c r="F18">
        <v>155709.06</v>
      </c>
      <c r="G18">
        <f t="shared" si="1"/>
        <v>1557090.6</v>
      </c>
      <c r="H18" s="1">
        <v>45517</v>
      </c>
      <c r="I18" s="1" t="str">
        <f t="shared" si="2"/>
        <v>Aug</v>
      </c>
      <c r="J18" s="1" t="str">
        <f t="shared" si="3"/>
        <v>2024</v>
      </c>
      <c r="K18" t="s">
        <v>30</v>
      </c>
      <c r="L18" t="s">
        <v>398</v>
      </c>
    </row>
    <row r="19" spans="1:12" x14ac:dyDescent="0.25">
      <c r="A19" t="s">
        <v>629</v>
      </c>
      <c r="B19" t="str">
        <f t="shared" si="0"/>
        <v>Identified</v>
      </c>
      <c r="C19" t="s">
        <v>46</v>
      </c>
      <c r="D19" t="s">
        <v>50</v>
      </c>
      <c r="E19">
        <v>47</v>
      </c>
      <c r="F19">
        <v>10149.09</v>
      </c>
      <c r="G19">
        <f t="shared" si="1"/>
        <v>477007.23</v>
      </c>
      <c r="H19" s="1">
        <v>45723</v>
      </c>
      <c r="I19" s="1" t="str">
        <f t="shared" si="2"/>
        <v>Mar</v>
      </c>
      <c r="J19" s="1" t="str">
        <f t="shared" si="3"/>
        <v>2025</v>
      </c>
      <c r="K19" t="s">
        <v>30</v>
      </c>
      <c r="L19" t="s">
        <v>630</v>
      </c>
    </row>
    <row r="20" spans="1:12" x14ac:dyDescent="0.25">
      <c r="A20" t="s">
        <v>184</v>
      </c>
      <c r="B20" t="str">
        <f t="shared" si="0"/>
        <v>Identified</v>
      </c>
      <c r="C20" t="s">
        <v>39</v>
      </c>
      <c r="D20" t="s">
        <v>76</v>
      </c>
      <c r="E20">
        <v>61</v>
      </c>
      <c r="F20">
        <v>287222.55</v>
      </c>
      <c r="G20">
        <f t="shared" si="1"/>
        <v>17520575.550000001</v>
      </c>
      <c r="H20" s="1">
        <v>45259</v>
      </c>
      <c r="I20" s="1" t="str">
        <f t="shared" si="2"/>
        <v>Nov</v>
      </c>
      <c r="J20" s="1" t="str">
        <f t="shared" si="3"/>
        <v>2023</v>
      </c>
      <c r="K20" t="s">
        <v>51</v>
      </c>
      <c r="L20" t="s">
        <v>185</v>
      </c>
    </row>
    <row r="21" spans="1:12" x14ac:dyDescent="0.25">
      <c r="A21" t="s">
        <v>666</v>
      </c>
      <c r="B21" t="str">
        <f t="shared" si="0"/>
        <v>Identified</v>
      </c>
      <c r="C21" t="s">
        <v>33</v>
      </c>
      <c r="D21" t="s">
        <v>59</v>
      </c>
      <c r="E21">
        <v>55</v>
      </c>
      <c r="F21">
        <v>298048.28999999998</v>
      </c>
      <c r="G21">
        <f t="shared" si="1"/>
        <v>16392655.949999999</v>
      </c>
      <c r="H21" s="1">
        <v>45751</v>
      </c>
      <c r="I21" s="1" t="str">
        <f t="shared" si="2"/>
        <v>Apr</v>
      </c>
      <c r="J21" s="1" t="str">
        <f t="shared" si="3"/>
        <v>2025</v>
      </c>
      <c r="K21" t="s">
        <v>51</v>
      </c>
      <c r="L21" t="s">
        <v>667</v>
      </c>
    </row>
    <row r="22" spans="1:12" x14ac:dyDescent="0.25">
      <c r="A22" t="s">
        <v>352</v>
      </c>
      <c r="B22" t="str">
        <f t="shared" si="0"/>
        <v>Identified</v>
      </c>
      <c r="C22" t="s">
        <v>13</v>
      </c>
      <c r="D22" t="s">
        <v>19</v>
      </c>
      <c r="E22">
        <v>47</v>
      </c>
      <c r="F22">
        <v>192573.07</v>
      </c>
      <c r="G22">
        <f t="shared" si="1"/>
        <v>9050934.290000001</v>
      </c>
      <c r="H22" s="1">
        <v>45055</v>
      </c>
      <c r="I22" s="1" t="str">
        <f t="shared" si="2"/>
        <v>May</v>
      </c>
      <c r="J22" s="1" t="str">
        <f t="shared" si="3"/>
        <v>2023</v>
      </c>
      <c r="K22" t="s">
        <v>11</v>
      </c>
      <c r="L22" t="s">
        <v>353</v>
      </c>
    </row>
    <row r="23" spans="1:12" x14ac:dyDescent="0.25">
      <c r="A23" t="s">
        <v>204</v>
      </c>
      <c r="B23" t="str">
        <f t="shared" si="0"/>
        <v>Identified</v>
      </c>
      <c r="C23" t="s">
        <v>22</v>
      </c>
      <c r="D23" t="s">
        <v>50</v>
      </c>
      <c r="E23">
        <v>47</v>
      </c>
      <c r="F23">
        <v>144201.13</v>
      </c>
      <c r="G23">
        <f t="shared" si="1"/>
        <v>6777453.1100000003</v>
      </c>
      <c r="H23" s="1">
        <v>45520</v>
      </c>
      <c r="I23" s="1" t="str">
        <f t="shared" si="2"/>
        <v>Aug</v>
      </c>
      <c r="J23" s="1" t="str">
        <f t="shared" si="3"/>
        <v>2024</v>
      </c>
      <c r="K23" t="s">
        <v>30</v>
      </c>
      <c r="L23" t="s">
        <v>206</v>
      </c>
    </row>
    <row r="24" spans="1:12" x14ac:dyDescent="0.25">
      <c r="A24" t="s">
        <v>769</v>
      </c>
      <c r="B24" t="str">
        <f t="shared" si="0"/>
        <v>Identified</v>
      </c>
      <c r="C24" t="s">
        <v>36</v>
      </c>
      <c r="D24" t="s">
        <v>76</v>
      </c>
      <c r="E24">
        <v>47</v>
      </c>
      <c r="F24">
        <v>155709.06</v>
      </c>
      <c r="G24">
        <f t="shared" si="1"/>
        <v>7318325.8200000003</v>
      </c>
      <c r="H24" s="1">
        <v>45719</v>
      </c>
      <c r="I24" s="1" t="str">
        <f t="shared" si="2"/>
        <v>Mar</v>
      </c>
      <c r="J24" s="1" t="str">
        <f t="shared" si="3"/>
        <v>2025</v>
      </c>
      <c r="K24" t="s">
        <v>15</v>
      </c>
      <c r="L24" t="s">
        <v>770</v>
      </c>
    </row>
    <row r="25" spans="1:12" x14ac:dyDescent="0.25">
      <c r="A25" t="s">
        <v>739</v>
      </c>
      <c r="B25" t="str">
        <f t="shared" si="0"/>
        <v>Identified</v>
      </c>
      <c r="C25" t="s">
        <v>39</v>
      </c>
      <c r="D25" t="s">
        <v>25</v>
      </c>
      <c r="E25">
        <v>47</v>
      </c>
      <c r="F25">
        <v>124096.91</v>
      </c>
      <c r="G25">
        <f t="shared" si="1"/>
        <v>5832554.7700000005</v>
      </c>
      <c r="H25" s="1">
        <v>45646</v>
      </c>
      <c r="I25" s="1" t="str">
        <f t="shared" si="2"/>
        <v>Dec</v>
      </c>
      <c r="J25" s="1" t="str">
        <f t="shared" si="3"/>
        <v>2024</v>
      </c>
      <c r="K25" t="s">
        <v>30</v>
      </c>
      <c r="L25" t="s">
        <v>740</v>
      </c>
    </row>
    <row r="26" spans="1:12" x14ac:dyDescent="0.25">
      <c r="A26" t="s">
        <v>549</v>
      </c>
      <c r="B26" t="str">
        <f t="shared" si="0"/>
        <v>Identified</v>
      </c>
      <c r="C26" t="s">
        <v>93</v>
      </c>
      <c r="D26" t="s">
        <v>76</v>
      </c>
      <c r="E26">
        <v>21</v>
      </c>
      <c r="F26">
        <v>162578.47</v>
      </c>
      <c r="G26">
        <f t="shared" si="1"/>
        <v>3414147.87</v>
      </c>
      <c r="H26" s="1">
        <v>45448</v>
      </c>
      <c r="I26" s="1" t="str">
        <f t="shared" si="2"/>
        <v>Jun</v>
      </c>
      <c r="J26" s="1" t="str">
        <f t="shared" si="3"/>
        <v>2024</v>
      </c>
      <c r="K26" t="s">
        <v>30</v>
      </c>
      <c r="L26" t="s">
        <v>550</v>
      </c>
    </row>
    <row r="27" spans="1:12" x14ac:dyDescent="0.25">
      <c r="A27" t="s">
        <v>540</v>
      </c>
      <c r="B27" t="str">
        <f t="shared" si="0"/>
        <v>Identified</v>
      </c>
      <c r="C27" t="s">
        <v>230</v>
      </c>
      <c r="D27" t="s">
        <v>19</v>
      </c>
      <c r="E27">
        <v>47</v>
      </c>
      <c r="F27">
        <v>65761.440000000002</v>
      </c>
      <c r="G27">
        <f t="shared" si="1"/>
        <v>3090787.68</v>
      </c>
      <c r="H27" s="1">
        <v>45181</v>
      </c>
      <c r="I27" s="1" t="str">
        <f t="shared" si="2"/>
        <v>Sep</v>
      </c>
      <c r="J27" s="1" t="str">
        <f t="shared" si="3"/>
        <v>2023</v>
      </c>
      <c r="K27" t="s">
        <v>15</v>
      </c>
      <c r="L27" t="s">
        <v>541</v>
      </c>
    </row>
    <row r="28" spans="1:12" x14ac:dyDescent="0.25">
      <c r="A28" t="s">
        <v>342</v>
      </c>
      <c r="B28" t="str">
        <f t="shared" si="0"/>
        <v>Identified</v>
      </c>
      <c r="C28" t="s">
        <v>36</v>
      </c>
      <c r="D28" t="s">
        <v>25</v>
      </c>
      <c r="E28">
        <v>47</v>
      </c>
      <c r="F28">
        <v>11721.12</v>
      </c>
      <c r="G28">
        <f t="shared" si="1"/>
        <v>550892.64</v>
      </c>
      <c r="H28" s="1">
        <v>45743</v>
      </c>
      <c r="I28" s="1" t="str">
        <f t="shared" si="2"/>
        <v>Mar</v>
      </c>
      <c r="J28" s="1" t="str">
        <f t="shared" si="3"/>
        <v>2025</v>
      </c>
      <c r="K28" t="s">
        <v>30</v>
      </c>
      <c r="L28" t="s">
        <v>343</v>
      </c>
    </row>
    <row r="29" spans="1:12" x14ac:dyDescent="0.25">
      <c r="A29" t="s">
        <v>891</v>
      </c>
      <c r="B29" t="str">
        <f t="shared" si="0"/>
        <v>Identified</v>
      </c>
      <c r="C29" t="s">
        <v>119</v>
      </c>
      <c r="D29" t="s">
        <v>98</v>
      </c>
      <c r="E29">
        <v>74</v>
      </c>
      <c r="F29">
        <v>297101.90000000002</v>
      </c>
      <c r="G29">
        <f t="shared" si="1"/>
        <v>21985540.600000001</v>
      </c>
      <c r="H29" s="1">
        <v>45391</v>
      </c>
      <c r="I29" s="1" t="str">
        <f t="shared" si="2"/>
        <v>Apr</v>
      </c>
      <c r="J29" s="1" t="str">
        <f t="shared" si="3"/>
        <v>2024</v>
      </c>
      <c r="K29" t="s">
        <v>51</v>
      </c>
      <c r="L29" t="s">
        <v>892</v>
      </c>
    </row>
    <row r="30" spans="1:12" x14ac:dyDescent="0.25">
      <c r="A30" t="s">
        <v>209</v>
      </c>
      <c r="B30" t="str">
        <f t="shared" si="0"/>
        <v>Identified</v>
      </c>
      <c r="C30" t="s">
        <v>49</v>
      </c>
      <c r="D30" t="s">
        <v>98</v>
      </c>
      <c r="E30">
        <v>93</v>
      </c>
      <c r="F30">
        <v>280378.37</v>
      </c>
      <c r="G30">
        <f t="shared" si="1"/>
        <v>26075188.41</v>
      </c>
      <c r="H30" s="1">
        <v>45354</v>
      </c>
      <c r="I30" s="1" t="str">
        <f t="shared" si="2"/>
        <v>Mar</v>
      </c>
      <c r="J30" s="1" t="str">
        <f t="shared" si="3"/>
        <v>2024</v>
      </c>
      <c r="K30" t="s">
        <v>30</v>
      </c>
      <c r="L30" t="s">
        <v>210</v>
      </c>
    </row>
    <row r="31" spans="1:12" x14ac:dyDescent="0.25">
      <c r="A31" t="s">
        <v>429</v>
      </c>
      <c r="B31" t="str">
        <f t="shared" si="0"/>
        <v>Identified</v>
      </c>
      <c r="C31" t="s">
        <v>22</v>
      </c>
      <c r="D31" t="s">
        <v>14</v>
      </c>
      <c r="E31">
        <v>47</v>
      </c>
      <c r="F31">
        <v>139885.79999999999</v>
      </c>
      <c r="G31">
        <f t="shared" si="1"/>
        <v>6574632.5999999996</v>
      </c>
      <c r="H31" s="1">
        <v>45310</v>
      </c>
      <c r="I31" s="1" t="str">
        <f t="shared" si="2"/>
        <v>Jan</v>
      </c>
      <c r="J31" s="1" t="str">
        <f t="shared" si="3"/>
        <v>2024</v>
      </c>
      <c r="K31" t="s">
        <v>51</v>
      </c>
      <c r="L31" t="s">
        <v>430</v>
      </c>
    </row>
    <row r="32" spans="1:12" x14ac:dyDescent="0.25">
      <c r="A32" t="s">
        <v>453</v>
      </c>
      <c r="B32" t="str">
        <f t="shared" si="0"/>
        <v>Identified</v>
      </c>
      <c r="C32" t="s">
        <v>230</v>
      </c>
      <c r="D32" t="s">
        <v>19</v>
      </c>
      <c r="E32">
        <v>47</v>
      </c>
      <c r="F32">
        <v>155709.06</v>
      </c>
      <c r="G32">
        <f t="shared" si="1"/>
        <v>7318325.8200000003</v>
      </c>
      <c r="H32" s="1">
        <v>45241</v>
      </c>
      <c r="I32" s="1" t="str">
        <f t="shared" si="2"/>
        <v>Nov</v>
      </c>
      <c r="J32" s="1" t="str">
        <f t="shared" si="3"/>
        <v>2023</v>
      </c>
      <c r="K32" t="s">
        <v>30</v>
      </c>
      <c r="L32" t="s">
        <v>1087</v>
      </c>
    </row>
    <row r="33" spans="1:12" x14ac:dyDescent="0.25">
      <c r="A33" t="s">
        <v>137</v>
      </c>
      <c r="B33" t="str">
        <f t="shared" si="0"/>
        <v>Identified</v>
      </c>
      <c r="C33" t="s">
        <v>39</v>
      </c>
      <c r="D33" t="s">
        <v>98</v>
      </c>
      <c r="E33">
        <v>47</v>
      </c>
      <c r="F33">
        <v>183637.68</v>
      </c>
      <c r="G33">
        <f t="shared" si="1"/>
        <v>8630970.959999999</v>
      </c>
      <c r="H33" s="1">
        <v>45526</v>
      </c>
      <c r="I33" s="1" t="str">
        <f t="shared" si="2"/>
        <v>Aug</v>
      </c>
      <c r="J33" s="1" t="str">
        <f t="shared" si="3"/>
        <v>2024</v>
      </c>
      <c r="K33" t="s">
        <v>30</v>
      </c>
      <c r="L33" t="s">
        <v>139</v>
      </c>
    </row>
    <row r="34" spans="1:12" x14ac:dyDescent="0.25">
      <c r="A34" t="s">
        <v>21</v>
      </c>
      <c r="B34" t="str">
        <f t="shared" si="0"/>
        <v>Identified</v>
      </c>
      <c r="C34" t="s">
        <v>22</v>
      </c>
      <c r="D34" t="s">
        <v>19</v>
      </c>
      <c r="E34">
        <v>47</v>
      </c>
      <c r="F34">
        <v>279444.94</v>
      </c>
      <c r="G34">
        <f t="shared" si="1"/>
        <v>13133912.18</v>
      </c>
      <c r="H34" s="1">
        <v>45416</v>
      </c>
      <c r="I34" s="1" t="str">
        <f t="shared" si="2"/>
        <v>May</v>
      </c>
      <c r="J34" s="1" t="str">
        <f t="shared" si="3"/>
        <v>2024</v>
      </c>
      <c r="K34" t="s">
        <v>30</v>
      </c>
      <c r="L34" t="s">
        <v>23</v>
      </c>
    </row>
    <row r="35" spans="1:12" x14ac:dyDescent="0.25">
      <c r="A35" t="s">
        <v>249</v>
      </c>
      <c r="B35" t="str">
        <f t="shared" si="0"/>
        <v>Identified</v>
      </c>
      <c r="C35" t="s">
        <v>18</v>
      </c>
      <c r="D35" t="s">
        <v>76</v>
      </c>
      <c r="E35">
        <v>47</v>
      </c>
      <c r="F35">
        <v>81704.25</v>
      </c>
      <c r="G35">
        <f t="shared" si="1"/>
        <v>3840099.75</v>
      </c>
      <c r="H35" s="1">
        <v>45484</v>
      </c>
      <c r="I35" s="1" t="str">
        <f t="shared" si="2"/>
        <v>Jul</v>
      </c>
      <c r="J35" s="1" t="str">
        <f t="shared" si="3"/>
        <v>2024</v>
      </c>
      <c r="K35" t="s">
        <v>15</v>
      </c>
      <c r="L35" t="s">
        <v>250</v>
      </c>
    </row>
    <row r="36" spans="1:12" x14ac:dyDescent="0.25">
      <c r="A36" t="s">
        <v>497</v>
      </c>
      <c r="B36" t="str">
        <f t="shared" si="0"/>
        <v>Identified</v>
      </c>
      <c r="C36" t="s">
        <v>33</v>
      </c>
      <c r="D36" t="s">
        <v>25</v>
      </c>
      <c r="E36">
        <v>47</v>
      </c>
      <c r="F36">
        <v>270915</v>
      </c>
      <c r="G36">
        <f t="shared" si="1"/>
        <v>12733005</v>
      </c>
      <c r="H36" s="1">
        <v>45772</v>
      </c>
      <c r="I36" s="1" t="str">
        <f t="shared" si="2"/>
        <v>Apr</v>
      </c>
      <c r="J36" s="1" t="str">
        <f t="shared" si="3"/>
        <v>2025</v>
      </c>
      <c r="K36" t="s">
        <v>30</v>
      </c>
      <c r="L36" t="s">
        <v>498</v>
      </c>
    </row>
    <row r="37" spans="1:12" x14ac:dyDescent="0.25">
      <c r="A37" t="s">
        <v>753</v>
      </c>
      <c r="B37" t="str">
        <f t="shared" si="0"/>
        <v>Identified</v>
      </c>
      <c r="C37" t="s">
        <v>93</v>
      </c>
      <c r="D37" t="s">
        <v>59</v>
      </c>
      <c r="E37">
        <v>47</v>
      </c>
      <c r="F37">
        <v>135211.15</v>
      </c>
      <c r="G37">
        <f t="shared" si="1"/>
        <v>6354924.0499999998</v>
      </c>
      <c r="H37" s="1">
        <v>45460</v>
      </c>
      <c r="I37" s="1" t="str">
        <f t="shared" si="2"/>
        <v>Jun</v>
      </c>
      <c r="J37" s="1" t="str">
        <f t="shared" si="3"/>
        <v>2024</v>
      </c>
      <c r="K37" t="s">
        <v>30</v>
      </c>
      <c r="L37" t="s">
        <v>754</v>
      </c>
    </row>
    <row r="38" spans="1:12" x14ac:dyDescent="0.25">
      <c r="A38" t="s">
        <v>135</v>
      </c>
      <c r="B38" t="str">
        <f t="shared" si="0"/>
        <v>Identified</v>
      </c>
      <c r="C38" t="s">
        <v>115</v>
      </c>
      <c r="D38" t="s">
        <v>19</v>
      </c>
      <c r="E38">
        <v>10</v>
      </c>
      <c r="F38">
        <v>150794.94</v>
      </c>
      <c r="G38">
        <f t="shared" si="1"/>
        <v>1507949.4</v>
      </c>
      <c r="H38" s="1">
        <v>45489</v>
      </c>
      <c r="I38" s="1" t="str">
        <f t="shared" si="2"/>
        <v>Jul</v>
      </c>
      <c r="J38" s="1" t="str">
        <f t="shared" si="3"/>
        <v>2024</v>
      </c>
      <c r="K38" t="s">
        <v>30</v>
      </c>
      <c r="L38" t="s">
        <v>136</v>
      </c>
    </row>
    <row r="39" spans="1:12" x14ac:dyDescent="0.25">
      <c r="A39" t="s">
        <v>825</v>
      </c>
      <c r="B39" t="str">
        <f t="shared" si="0"/>
        <v>Identified</v>
      </c>
      <c r="C39" t="s">
        <v>18</v>
      </c>
      <c r="D39" t="s">
        <v>50</v>
      </c>
      <c r="E39">
        <v>47</v>
      </c>
      <c r="F39">
        <v>155709.06</v>
      </c>
      <c r="G39">
        <f t="shared" si="1"/>
        <v>7318325.8200000003</v>
      </c>
      <c r="H39" s="1">
        <v>45677</v>
      </c>
      <c r="I39" s="1" t="str">
        <f t="shared" si="2"/>
        <v>Jan</v>
      </c>
      <c r="J39" s="1" t="str">
        <f t="shared" si="3"/>
        <v>2025</v>
      </c>
      <c r="K39" t="s">
        <v>30</v>
      </c>
      <c r="L39" t="s">
        <v>826</v>
      </c>
    </row>
    <row r="40" spans="1:12" x14ac:dyDescent="0.25">
      <c r="A40" t="s">
        <v>102</v>
      </c>
      <c r="B40" t="str">
        <f t="shared" si="0"/>
        <v>Identified</v>
      </c>
      <c r="C40" t="s">
        <v>28</v>
      </c>
      <c r="D40" t="s">
        <v>76</v>
      </c>
      <c r="E40">
        <v>96</v>
      </c>
      <c r="F40">
        <v>144394.41</v>
      </c>
      <c r="G40">
        <f t="shared" si="1"/>
        <v>13861863.359999999</v>
      </c>
      <c r="H40" s="1">
        <v>45548</v>
      </c>
      <c r="I40" s="1" t="str">
        <f t="shared" si="2"/>
        <v>Sep</v>
      </c>
      <c r="J40" s="1" t="str">
        <f t="shared" si="3"/>
        <v>2024</v>
      </c>
      <c r="K40" t="s">
        <v>11</v>
      </c>
      <c r="L40" t="s">
        <v>104</v>
      </c>
    </row>
    <row r="41" spans="1:12" x14ac:dyDescent="0.25">
      <c r="A41" t="s">
        <v>887</v>
      </c>
      <c r="B41" t="str">
        <f t="shared" si="0"/>
        <v>Identified</v>
      </c>
      <c r="C41" t="s">
        <v>66</v>
      </c>
      <c r="D41" t="s">
        <v>19</v>
      </c>
      <c r="E41">
        <v>47</v>
      </c>
      <c r="F41">
        <v>55622.31</v>
      </c>
      <c r="G41">
        <f t="shared" si="1"/>
        <v>2614248.5699999998</v>
      </c>
      <c r="H41" s="1">
        <v>45563</v>
      </c>
      <c r="I41" s="1" t="str">
        <f t="shared" si="2"/>
        <v>Sep</v>
      </c>
      <c r="J41" s="1" t="str">
        <f t="shared" si="3"/>
        <v>2024</v>
      </c>
      <c r="K41" t="s">
        <v>11</v>
      </c>
      <c r="L41" t="s">
        <v>888</v>
      </c>
    </row>
    <row r="42" spans="1:12" x14ac:dyDescent="0.25">
      <c r="A42" t="s">
        <v>900</v>
      </c>
      <c r="B42" t="str">
        <f t="shared" si="0"/>
        <v>Identified</v>
      </c>
      <c r="C42" t="s">
        <v>33</v>
      </c>
      <c r="D42" t="s">
        <v>19</v>
      </c>
      <c r="E42">
        <v>45</v>
      </c>
      <c r="F42">
        <v>155709.06</v>
      </c>
      <c r="G42">
        <f t="shared" si="1"/>
        <v>7006907.7000000002</v>
      </c>
      <c r="H42" s="1">
        <v>45386</v>
      </c>
      <c r="I42" s="1" t="str">
        <f t="shared" si="2"/>
        <v>Apr</v>
      </c>
      <c r="J42" s="1" t="str">
        <f t="shared" si="3"/>
        <v>2024</v>
      </c>
      <c r="K42" t="s">
        <v>11</v>
      </c>
      <c r="L42" t="s">
        <v>901</v>
      </c>
    </row>
    <row r="43" spans="1:12" x14ac:dyDescent="0.25">
      <c r="A43" t="s">
        <v>306</v>
      </c>
      <c r="B43" t="str">
        <f t="shared" si="0"/>
        <v>Identified</v>
      </c>
      <c r="C43" t="s">
        <v>33</v>
      </c>
      <c r="D43" t="s">
        <v>29</v>
      </c>
      <c r="E43">
        <v>6</v>
      </c>
      <c r="F43">
        <v>195863.47</v>
      </c>
      <c r="G43">
        <f t="shared" si="1"/>
        <v>1175180.82</v>
      </c>
      <c r="H43" s="1">
        <v>45293</v>
      </c>
      <c r="I43" s="1" t="str">
        <f t="shared" si="2"/>
        <v>Jan</v>
      </c>
      <c r="J43" s="1" t="str">
        <f t="shared" si="3"/>
        <v>2024</v>
      </c>
      <c r="K43" t="s">
        <v>30</v>
      </c>
      <c r="L43" t="s">
        <v>307</v>
      </c>
    </row>
    <row r="44" spans="1:12" x14ac:dyDescent="0.25">
      <c r="A44" t="s">
        <v>727</v>
      </c>
      <c r="B44" t="str">
        <f t="shared" si="0"/>
        <v>Identified</v>
      </c>
      <c r="C44" t="s">
        <v>57</v>
      </c>
      <c r="D44" t="s">
        <v>29</v>
      </c>
      <c r="E44">
        <v>47</v>
      </c>
      <c r="F44">
        <v>67990.69</v>
      </c>
      <c r="G44">
        <f t="shared" si="1"/>
        <v>3195562.43</v>
      </c>
      <c r="H44" s="1">
        <v>45362</v>
      </c>
      <c r="I44" s="1" t="str">
        <f t="shared" si="2"/>
        <v>Mar</v>
      </c>
      <c r="J44" s="1" t="str">
        <f t="shared" si="3"/>
        <v>2024</v>
      </c>
      <c r="K44" t="s">
        <v>30</v>
      </c>
      <c r="L44" t="s">
        <v>728</v>
      </c>
    </row>
    <row r="45" spans="1:12" x14ac:dyDescent="0.25">
      <c r="A45" t="s">
        <v>431</v>
      </c>
      <c r="B45" t="str">
        <f t="shared" si="0"/>
        <v>Identified</v>
      </c>
      <c r="C45" t="s">
        <v>13</v>
      </c>
      <c r="D45" t="s">
        <v>25</v>
      </c>
      <c r="E45">
        <v>37</v>
      </c>
      <c r="F45">
        <v>48335.19</v>
      </c>
      <c r="G45">
        <f t="shared" si="1"/>
        <v>1788402.03</v>
      </c>
      <c r="H45" s="1">
        <v>45790</v>
      </c>
      <c r="I45" s="1" t="str">
        <f t="shared" si="2"/>
        <v>May</v>
      </c>
      <c r="J45" s="1" t="str">
        <f t="shared" si="3"/>
        <v>2025</v>
      </c>
      <c r="K45" t="s">
        <v>15</v>
      </c>
      <c r="L45" t="s">
        <v>432</v>
      </c>
    </row>
    <row r="46" spans="1:12" x14ac:dyDescent="0.25">
      <c r="A46" t="s">
        <v>703</v>
      </c>
      <c r="B46" t="str">
        <f t="shared" si="0"/>
        <v>Identified</v>
      </c>
      <c r="C46" t="s">
        <v>143</v>
      </c>
      <c r="D46" t="s">
        <v>19</v>
      </c>
      <c r="E46">
        <v>18</v>
      </c>
      <c r="F46">
        <v>166977.26999999999</v>
      </c>
      <c r="G46">
        <f t="shared" si="1"/>
        <v>3005590.86</v>
      </c>
      <c r="H46" s="1">
        <v>45933</v>
      </c>
      <c r="I46" s="1" t="str">
        <f t="shared" si="2"/>
        <v>Oct</v>
      </c>
      <c r="J46" s="1" t="str">
        <f t="shared" si="3"/>
        <v>2025</v>
      </c>
      <c r="K46" t="s">
        <v>11</v>
      </c>
      <c r="L46" t="s">
        <v>704</v>
      </c>
    </row>
    <row r="47" spans="1:12" x14ac:dyDescent="0.25">
      <c r="A47" t="s">
        <v>866</v>
      </c>
      <c r="B47" t="str">
        <f t="shared" si="0"/>
        <v>Identified</v>
      </c>
      <c r="C47" t="s">
        <v>115</v>
      </c>
      <c r="D47" t="s">
        <v>14</v>
      </c>
      <c r="E47">
        <v>29</v>
      </c>
      <c r="F47">
        <v>101600.5</v>
      </c>
      <c r="G47">
        <f t="shared" si="1"/>
        <v>2946414.5</v>
      </c>
      <c r="H47" s="1">
        <v>45364</v>
      </c>
      <c r="I47" s="1" t="str">
        <f t="shared" si="2"/>
        <v>Mar</v>
      </c>
      <c r="J47" s="1" t="str">
        <f t="shared" si="3"/>
        <v>2024</v>
      </c>
      <c r="K47" t="s">
        <v>30</v>
      </c>
      <c r="L47" t="s">
        <v>868</v>
      </c>
    </row>
    <row r="48" spans="1:12" x14ac:dyDescent="0.25">
      <c r="A48" t="s">
        <v>295</v>
      </c>
      <c r="B48" t="str">
        <f t="shared" si="0"/>
        <v>Identified</v>
      </c>
      <c r="C48" t="s">
        <v>36</v>
      </c>
      <c r="D48" t="s">
        <v>25</v>
      </c>
      <c r="E48">
        <v>47</v>
      </c>
      <c r="F48">
        <v>226895.35999999999</v>
      </c>
      <c r="G48">
        <f t="shared" si="1"/>
        <v>10664081.92</v>
      </c>
      <c r="H48" s="1">
        <v>44965</v>
      </c>
      <c r="I48" s="1" t="str">
        <f t="shared" si="2"/>
        <v>Feb</v>
      </c>
      <c r="J48" s="1" t="str">
        <f t="shared" si="3"/>
        <v>2023</v>
      </c>
      <c r="K48" t="s">
        <v>51</v>
      </c>
      <c r="L48" t="s">
        <v>296</v>
      </c>
    </row>
    <row r="49" spans="1:12" x14ac:dyDescent="0.25">
      <c r="A49" t="s">
        <v>939</v>
      </c>
      <c r="B49" t="str">
        <f t="shared" si="0"/>
        <v>Identified</v>
      </c>
      <c r="C49" t="s">
        <v>46</v>
      </c>
      <c r="D49" t="s">
        <v>19</v>
      </c>
      <c r="E49">
        <v>47</v>
      </c>
      <c r="F49">
        <v>216796.72</v>
      </c>
      <c r="G49">
        <f t="shared" si="1"/>
        <v>10189445.84</v>
      </c>
      <c r="H49" s="1">
        <v>45754</v>
      </c>
      <c r="I49" s="1" t="str">
        <f t="shared" si="2"/>
        <v>Apr</v>
      </c>
      <c r="J49" s="1" t="str">
        <f t="shared" si="3"/>
        <v>2025</v>
      </c>
      <c r="K49" t="s">
        <v>30</v>
      </c>
      <c r="L49" t="s">
        <v>940</v>
      </c>
    </row>
    <row r="50" spans="1:12" x14ac:dyDescent="0.25">
      <c r="A50" t="s">
        <v>1063</v>
      </c>
      <c r="B50" t="str">
        <f t="shared" si="0"/>
        <v>Identified</v>
      </c>
      <c r="C50" t="s">
        <v>83</v>
      </c>
      <c r="D50" t="s">
        <v>19</v>
      </c>
      <c r="E50">
        <v>47</v>
      </c>
      <c r="F50">
        <v>203271.97</v>
      </c>
      <c r="G50">
        <f t="shared" si="1"/>
        <v>9553782.5899999999</v>
      </c>
      <c r="H50" s="1">
        <v>45832</v>
      </c>
      <c r="I50" s="1" t="str">
        <f t="shared" si="2"/>
        <v>Jun</v>
      </c>
      <c r="J50" s="1" t="str">
        <f t="shared" si="3"/>
        <v>2025</v>
      </c>
      <c r="K50" t="s">
        <v>11</v>
      </c>
      <c r="L50" t="s">
        <v>1064</v>
      </c>
    </row>
    <row r="51" spans="1:12" x14ac:dyDescent="0.25">
      <c r="A51" t="s">
        <v>1088</v>
      </c>
      <c r="B51" t="str">
        <f t="shared" si="0"/>
        <v>Identified</v>
      </c>
      <c r="C51" t="s">
        <v>83</v>
      </c>
      <c r="D51" t="s">
        <v>29</v>
      </c>
      <c r="E51">
        <v>47</v>
      </c>
      <c r="F51">
        <v>132831.25</v>
      </c>
      <c r="G51">
        <f t="shared" si="1"/>
        <v>6243068.75</v>
      </c>
      <c r="H51" s="1">
        <v>45534</v>
      </c>
      <c r="I51" s="1" t="str">
        <f t="shared" si="2"/>
        <v>Aug</v>
      </c>
      <c r="J51" s="1" t="str">
        <f t="shared" si="3"/>
        <v>2024</v>
      </c>
      <c r="K51" t="s">
        <v>30</v>
      </c>
      <c r="L51" t="s">
        <v>1087</v>
      </c>
    </row>
    <row r="52" spans="1:12" x14ac:dyDescent="0.25">
      <c r="A52" t="s">
        <v>575</v>
      </c>
      <c r="B52" t="str">
        <f t="shared" si="0"/>
        <v>Identified</v>
      </c>
      <c r="C52" t="s">
        <v>49</v>
      </c>
      <c r="D52" t="s">
        <v>25</v>
      </c>
      <c r="E52">
        <v>47</v>
      </c>
      <c r="F52">
        <v>134836.87</v>
      </c>
      <c r="G52">
        <f t="shared" si="1"/>
        <v>6337332.8899999997</v>
      </c>
      <c r="H52" s="1">
        <v>45407</v>
      </c>
      <c r="I52" s="1" t="str">
        <f t="shared" si="2"/>
        <v>Apr</v>
      </c>
      <c r="J52" s="1" t="str">
        <f t="shared" si="3"/>
        <v>2024</v>
      </c>
      <c r="K52" t="s">
        <v>51</v>
      </c>
      <c r="L52" t="s">
        <v>576</v>
      </c>
    </row>
    <row r="53" spans="1:12" x14ac:dyDescent="0.25">
      <c r="A53" t="s">
        <v>518</v>
      </c>
      <c r="B53" t="str">
        <f t="shared" si="0"/>
        <v>Identified</v>
      </c>
      <c r="C53" t="s">
        <v>22</v>
      </c>
      <c r="D53" t="s">
        <v>14</v>
      </c>
      <c r="E53">
        <v>47</v>
      </c>
      <c r="F53">
        <v>133922.07</v>
      </c>
      <c r="G53">
        <f t="shared" si="1"/>
        <v>6294337.29</v>
      </c>
      <c r="H53" s="1">
        <v>45803</v>
      </c>
      <c r="I53" s="1" t="str">
        <f t="shared" si="2"/>
        <v>May</v>
      </c>
      <c r="J53" s="1" t="str">
        <f t="shared" si="3"/>
        <v>2025</v>
      </c>
      <c r="K53" t="s">
        <v>51</v>
      </c>
      <c r="L53" t="s">
        <v>519</v>
      </c>
    </row>
    <row r="54" spans="1:12" x14ac:dyDescent="0.25">
      <c r="A54" t="s">
        <v>1047</v>
      </c>
      <c r="B54" t="str">
        <f t="shared" si="0"/>
        <v>Identified</v>
      </c>
      <c r="C54" t="s">
        <v>46</v>
      </c>
      <c r="D54" t="s">
        <v>98</v>
      </c>
      <c r="E54">
        <v>47</v>
      </c>
      <c r="F54">
        <v>43685.37</v>
      </c>
      <c r="G54">
        <f t="shared" si="1"/>
        <v>2053212.3900000001</v>
      </c>
      <c r="H54" s="1">
        <v>45146</v>
      </c>
      <c r="I54" s="1" t="str">
        <f t="shared" si="2"/>
        <v>Aug</v>
      </c>
      <c r="J54" s="1" t="str">
        <f t="shared" si="3"/>
        <v>2023</v>
      </c>
      <c r="K54" t="s">
        <v>30</v>
      </c>
      <c r="L54" t="s">
        <v>1048</v>
      </c>
    </row>
    <row r="55" spans="1:12" x14ac:dyDescent="0.25">
      <c r="A55" t="s">
        <v>1089</v>
      </c>
      <c r="B55" t="str">
        <f t="shared" si="0"/>
        <v>Identified</v>
      </c>
      <c r="C55" t="s">
        <v>115</v>
      </c>
      <c r="D55" t="s">
        <v>14</v>
      </c>
      <c r="E55">
        <v>57</v>
      </c>
      <c r="F55">
        <v>295848.11</v>
      </c>
      <c r="G55">
        <f t="shared" si="1"/>
        <v>16863342.27</v>
      </c>
      <c r="H55" s="1">
        <v>45711</v>
      </c>
      <c r="I55" s="1" t="str">
        <f t="shared" si="2"/>
        <v>Feb</v>
      </c>
      <c r="J55" s="1" t="str">
        <f t="shared" si="3"/>
        <v>2025</v>
      </c>
      <c r="K55" t="s">
        <v>30</v>
      </c>
      <c r="L55" t="s">
        <v>556</v>
      </c>
    </row>
    <row r="56" spans="1:12" x14ac:dyDescent="0.25">
      <c r="A56" t="s">
        <v>1083</v>
      </c>
      <c r="B56" t="str">
        <f t="shared" si="0"/>
        <v>Identified</v>
      </c>
      <c r="C56" t="s">
        <v>36</v>
      </c>
      <c r="D56" t="s">
        <v>29</v>
      </c>
      <c r="E56">
        <v>47</v>
      </c>
      <c r="F56">
        <v>70027.13</v>
      </c>
      <c r="G56">
        <f t="shared" si="1"/>
        <v>3291275.1100000003</v>
      </c>
      <c r="H56" s="1">
        <v>45342</v>
      </c>
      <c r="I56" s="1" t="str">
        <f t="shared" si="2"/>
        <v>Feb</v>
      </c>
      <c r="J56" s="1" t="str">
        <f t="shared" si="3"/>
        <v>2024</v>
      </c>
      <c r="K56" t="s">
        <v>30</v>
      </c>
      <c r="L56" t="s">
        <v>1084</v>
      </c>
    </row>
    <row r="57" spans="1:12" x14ac:dyDescent="0.25">
      <c r="A57" t="s">
        <v>715</v>
      </c>
      <c r="B57" t="str">
        <f t="shared" si="0"/>
        <v>Identified</v>
      </c>
      <c r="C57" t="s">
        <v>36</v>
      </c>
      <c r="D57" t="s">
        <v>76</v>
      </c>
      <c r="E57">
        <v>24</v>
      </c>
      <c r="F57">
        <v>155709.06</v>
      </c>
      <c r="G57">
        <f t="shared" si="1"/>
        <v>3737017.44</v>
      </c>
      <c r="H57" s="1">
        <v>45157</v>
      </c>
      <c r="I57" s="1" t="str">
        <f t="shared" si="2"/>
        <v>Aug</v>
      </c>
      <c r="J57" s="1" t="str">
        <f t="shared" si="3"/>
        <v>2023</v>
      </c>
      <c r="K57" t="s">
        <v>51</v>
      </c>
      <c r="L57" t="s">
        <v>1087</v>
      </c>
    </row>
    <row r="58" spans="1:12" x14ac:dyDescent="0.25">
      <c r="A58" t="s">
        <v>373</v>
      </c>
      <c r="B58" t="str">
        <f t="shared" si="0"/>
        <v>Identified</v>
      </c>
      <c r="C58" t="s">
        <v>230</v>
      </c>
      <c r="D58" t="s">
        <v>29</v>
      </c>
      <c r="E58">
        <v>47</v>
      </c>
      <c r="F58">
        <v>194661.46</v>
      </c>
      <c r="G58">
        <f t="shared" si="1"/>
        <v>9149088.6199999992</v>
      </c>
      <c r="H58" s="1">
        <v>45589</v>
      </c>
      <c r="I58" s="1" t="str">
        <f t="shared" si="2"/>
        <v>Oct</v>
      </c>
      <c r="J58" s="1" t="str">
        <f t="shared" si="3"/>
        <v>2024</v>
      </c>
      <c r="K58" t="s">
        <v>11</v>
      </c>
      <c r="L58" t="s">
        <v>374</v>
      </c>
    </row>
    <row r="59" spans="1:12" x14ac:dyDescent="0.25">
      <c r="A59" t="s">
        <v>985</v>
      </c>
      <c r="B59" t="str">
        <f t="shared" si="0"/>
        <v>Identified</v>
      </c>
      <c r="C59" t="s">
        <v>83</v>
      </c>
      <c r="D59" t="s">
        <v>25</v>
      </c>
      <c r="E59">
        <v>47</v>
      </c>
      <c r="F59">
        <v>297506.57</v>
      </c>
      <c r="G59">
        <f t="shared" si="1"/>
        <v>13982808.790000001</v>
      </c>
      <c r="H59" s="1">
        <v>45647</v>
      </c>
      <c r="I59" s="1" t="str">
        <f t="shared" si="2"/>
        <v>Dec</v>
      </c>
      <c r="J59" s="1" t="str">
        <f t="shared" si="3"/>
        <v>2024</v>
      </c>
      <c r="K59" t="s">
        <v>30</v>
      </c>
      <c r="L59" t="s">
        <v>986</v>
      </c>
    </row>
    <row r="60" spans="1:12" x14ac:dyDescent="0.25">
      <c r="A60" t="s">
        <v>963</v>
      </c>
      <c r="B60" t="str">
        <f t="shared" si="0"/>
        <v>Identified</v>
      </c>
      <c r="C60" t="s">
        <v>115</v>
      </c>
      <c r="D60" t="s">
        <v>59</v>
      </c>
      <c r="E60">
        <v>62</v>
      </c>
      <c r="F60">
        <v>76099.25</v>
      </c>
      <c r="G60">
        <f t="shared" si="1"/>
        <v>4718153.5</v>
      </c>
      <c r="H60" s="1">
        <v>45821</v>
      </c>
      <c r="I60" s="1" t="str">
        <f t="shared" si="2"/>
        <v>Jun</v>
      </c>
      <c r="J60" s="1" t="str">
        <f t="shared" si="3"/>
        <v>2025</v>
      </c>
      <c r="K60" t="s">
        <v>11</v>
      </c>
      <c r="L60" t="s">
        <v>964</v>
      </c>
    </row>
    <row r="61" spans="1:12" x14ac:dyDescent="0.25">
      <c r="A61" t="s">
        <v>168</v>
      </c>
      <c r="B61" t="str">
        <f t="shared" si="0"/>
        <v>Identified</v>
      </c>
      <c r="C61" t="s">
        <v>18</v>
      </c>
      <c r="D61" t="s">
        <v>98</v>
      </c>
      <c r="E61">
        <v>47</v>
      </c>
      <c r="F61">
        <v>164108.82999999999</v>
      </c>
      <c r="G61">
        <f t="shared" si="1"/>
        <v>7713115.0099999998</v>
      </c>
      <c r="H61" s="1">
        <v>45355</v>
      </c>
      <c r="I61" s="1" t="str">
        <f t="shared" si="2"/>
        <v>Mar</v>
      </c>
      <c r="J61" s="1" t="str">
        <f t="shared" si="3"/>
        <v>2024</v>
      </c>
      <c r="K61" t="s">
        <v>11</v>
      </c>
      <c r="L61" t="s">
        <v>170</v>
      </c>
    </row>
    <row r="62" spans="1:12" x14ac:dyDescent="0.25">
      <c r="A62" t="s">
        <v>721</v>
      </c>
      <c r="B62" t="str">
        <f t="shared" si="0"/>
        <v>Identified</v>
      </c>
      <c r="C62" t="s">
        <v>66</v>
      </c>
      <c r="D62" t="s">
        <v>19</v>
      </c>
      <c r="E62">
        <v>26</v>
      </c>
      <c r="F62">
        <v>55571.75</v>
      </c>
      <c r="G62">
        <f t="shared" si="1"/>
        <v>1444865.5</v>
      </c>
      <c r="H62" s="1">
        <v>45525</v>
      </c>
      <c r="I62" s="1" t="str">
        <f t="shared" si="2"/>
        <v>Aug</v>
      </c>
      <c r="J62" s="1" t="str">
        <f t="shared" si="3"/>
        <v>2024</v>
      </c>
      <c r="K62" t="s">
        <v>15</v>
      </c>
      <c r="L62" t="s">
        <v>722</v>
      </c>
    </row>
    <row r="63" spans="1:12" x14ac:dyDescent="0.25">
      <c r="A63" t="s">
        <v>1073</v>
      </c>
      <c r="B63" t="str">
        <f t="shared" si="0"/>
        <v>Identified</v>
      </c>
      <c r="C63" t="s">
        <v>66</v>
      </c>
      <c r="D63" t="s">
        <v>50</v>
      </c>
      <c r="E63">
        <v>47</v>
      </c>
      <c r="F63">
        <v>237254.18</v>
      </c>
      <c r="G63">
        <f t="shared" si="1"/>
        <v>11150946.459999999</v>
      </c>
      <c r="H63" s="1">
        <v>45502</v>
      </c>
      <c r="I63" s="1" t="str">
        <f t="shared" si="2"/>
        <v>Jul</v>
      </c>
      <c r="J63" s="1" t="str">
        <f t="shared" si="3"/>
        <v>2024</v>
      </c>
      <c r="K63" t="s">
        <v>30</v>
      </c>
      <c r="L63" t="s">
        <v>1074</v>
      </c>
    </row>
    <row r="64" spans="1:12" x14ac:dyDescent="0.25">
      <c r="A64" t="s">
        <v>485</v>
      </c>
      <c r="B64" t="str">
        <f t="shared" si="0"/>
        <v>Identified</v>
      </c>
      <c r="C64" t="s">
        <v>83</v>
      </c>
      <c r="D64" t="s">
        <v>50</v>
      </c>
      <c r="E64">
        <v>47</v>
      </c>
      <c r="F64">
        <v>158687.85</v>
      </c>
      <c r="G64">
        <f t="shared" si="1"/>
        <v>7458328.9500000002</v>
      </c>
      <c r="H64" s="1">
        <v>45155</v>
      </c>
      <c r="I64" s="1" t="str">
        <f t="shared" si="2"/>
        <v>Aug</v>
      </c>
      <c r="J64" s="1" t="str">
        <f t="shared" si="3"/>
        <v>2023</v>
      </c>
      <c r="K64" t="s">
        <v>30</v>
      </c>
      <c r="L64" t="s">
        <v>486</v>
      </c>
    </row>
    <row r="65" spans="1:12" x14ac:dyDescent="0.25">
      <c r="A65" t="s">
        <v>65</v>
      </c>
      <c r="B65" t="str">
        <f t="shared" si="0"/>
        <v>Identified</v>
      </c>
      <c r="C65" t="s">
        <v>66</v>
      </c>
      <c r="D65" t="s">
        <v>50</v>
      </c>
      <c r="E65">
        <v>28</v>
      </c>
      <c r="F65">
        <v>33326.57</v>
      </c>
      <c r="G65">
        <f t="shared" si="1"/>
        <v>933143.96</v>
      </c>
      <c r="H65" s="1">
        <v>45613</v>
      </c>
      <c r="I65" s="1" t="str">
        <f t="shared" si="2"/>
        <v>Nov</v>
      </c>
      <c r="J65" s="1" t="str">
        <f t="shared" si="3"/>
        <v>2024</v>
      </c>
      <c r="K65" t="s">
        <v>30</v>
      </c>
      <c r="L65" t="s">
        <v>67</v>
      </c>
    </row>
    <row r="66" spans="1:12" x14ac:dyDescent="0.25">
      <c r="A66" t="s">
        <v>240</v>
      </c>
      <c r="B66" t="str">
        <f t="shared" ref="B66:B129" si="4">IF(A66="Unknown","Unidentified","Identified")</f>
        <v>Identified</v>
      </c>
      <c r="C66" t="s">
        <v>28</v>
      </c>
      <c r="D66" t="s">
        <v>25</v>
      </c>
      <c r="E66">
        <v>47</v>
      </c>
      <c r="F66">
        <v>224327.88</v>
      </c>
      <c r="G66">
        <f t="shared" ref="G66:G129" si="5">F66*E66</f>
        <v>10543410.359999999</v>
      </c>
      <c r="H66" s="1">
        <v>45611</v>
      </c>
      <c r="I66" s="1" t="str">
        <f t="shared" ref="I66:I129" si="6">TEXT(H66,"MMM")</f>
        <v>Nov</v>
      </c>
      <c r="J66" s="1" t="str">
        <f t="shared" ref="J66:J129" si="7">TEXT(H66,"YYYY")</f>
        <v>2024</v>
      </c>
      <c r="K66" t="s">
        <v>30</v>
      </c>
      <c r="L66" t="s">
        <v>242</v>
      </c>
    </row>
    <row r="67" spans="1:12" x14ac:dyDescent="0.25">
      <c r="A67" t="s">
        <v>853</v>
      </c>
      <c r="B67" t="str">
        <f t="shared" si="4"/>
        <v>Identified</v>
      </c>
      <c r="C67" t="s">
        <v>115</v>
      </c>
      <c r="D67" t="s">
        <v>25</v>
      </c>
      <c r="E67">
        <v>91</v>
      </c>
      <c r="F67">
        <v>59259.44</v>
      </c>
      <c r="G67">
        <f t="shared" si="5"/>
        <v>5392609.04</v>
      </c>
      <c r="H67" s="1">
        <v>45716</v>
      </c>
      <c r="I67" s="1" t="str">
        <f t="shared" si="6"/>
        <v>Feb</v>
      </c>
      <c r="J67" s="1" t="str">
        <f t="shared" si="7"/>
        <v>2025</v>
      </c>
      <c r="K67" t="s">
        <v>15</v>
      </c>
      <c r="L67" t="s">
        <v>854</v>
      </c>
    </row>
    <row r="68" spans="1:12" x14ac:dyDescent="0.25">
      <c r="A68" t="s">
        <v>647</v>
      </c>
      <c r="B68" t="str">
        <f t="shared" si="4"/>
        <v>Identified</v>
      </c>
      <c r="C68" t="s">
        <v>115</v>
      </c>
      <c r="D68" t="s">
        <v>59</v>
      </c>
      <c r="E68">
        <v>16</v>
      </c>
      <c r="F68">
        <v>201771.08</v>
      </c>
      <c r="G68">
        <f t="shared" si="5"/>
        <v>3228337.28</v>
      </c>
      <c r="H68" s="1">
        <v>45379</v>
      </c>
      <c r="I68" s="1" t="str">
        <f t="shared" si="6"/>
        <v>Mar</v>
      </c>
      <c r="J68" s="1" t="str">
        <f t="shared" si="7"/>
        <v>2024</v>
      </c>
      <c r="K68" t="s">
        <v>30</v>
      </c>
      <c r="L68" t="s">
        <v>648</v>
      </c>
    </row>
    <row r="69" spans="1:12" x14ac:dyDescent="0.25">
      <c r="A69" t="s">
        <v>126</v>
      </c>
      <c r="B69" t="str">
        <f t="shared" si="4"/>
        <v>Identified</v>
      </c>
      <c r="C69" t="s">
        <v>49</v>
      </c>
      <c r="D69" t="s">
        <v>19</v>
      </c>
      <c r="E69">
        <v>47</v>
      </c>
      <c r="F69">
        <v>132591.04999999999</v>
      </c>
      <c r="G69">
        <f t="shared" si="5"/>
        <v>6231779.3499999996</v>
      </c>
      <c r="H69" s="1">
        <v>45476</v>
      </c>
      <c r="I69" s="1" t="str">
        <f t="shared" si="6"/>
        <v>Jul</v>
      </c>
      <c r="J69" s="1" t="str">
        <f t="shared" si="7"/>
        <v>2024</v>
      </c>
      <c r="K69" t="s">
        <v>30</v>
      </c>
      <c r="L69" t="s">
        <v>127</v>
      </c>
    </row>
    <row r="70" spans="1:12" x14ac:dyDescent="0.25">
      <c r="A70" t="s">
        <v>971</v>
      </c>
      <c r="B70" t="str">
        <f t="shared" si="4"/>
        <v>Identified</v>
      </c>
      <c r="C70" t="s">
        <v>143</v>
      </c>
      <c r="D70" t="s">
        <v>59</v>
      </c>
      <c r="E70">
        <v>8</v>
      </c>
      <c r="F70">
        <v>287809.69</v>
      </c>
      <c r="G70">
        <f t="shared" si="5"/>
        <v>2302477.52</v>
      </c>
      <c r="H70" s="1">
        <v>45474</v>
      </c>
      <c r="I70" s="1" t="str">
        <f t="shared" si="6"/>
        <v>Jul</v>
      </c>
      <c r="J70" s="1" t="str">
        <f t="shared" si="7"/>
        <v>2024</v>
      </c>
      <c r="K70" t="s">
        <v>51</v>
      </c>
      <c r="L70" t="s">
        <v>972</v>
      </c>
    </row>
    <row r="71" spans="1:12" x14ac:dyDescent="0.25">
      <c r="A71" t="s">
        <v>200</v>
      </c>
      <c r="B71" t="str">
        <f t="shared" si="4"/>
        <v>Identified</v>
      </c>
      <c r="C71" t="s">
        <v>18</v>
      </c>
      <c r="D71" t="s">
        <v>59</v>
      </c>
      <c r="E71">
        <v>47</v>
      </c>
      <c r="F71">
        <v>146956.42000000001</v>
      </c>
      <c r="G71">
        <f t="shared" si="5"/>
        <v>6906951.7400000002</v>
      </c>
      <c r="H71" s="1">
        <v>45763</v>
      </c>
      <c r="I71" s="1" t="str">
        <f t="shared" si="6"/>
        <v>Apr</v>
      </c>
      <c r="J71" s="1" t="str">
        <f t="shared" si="7"/>
        <v>2025</v>
      </c>
      <c r="K71" t="s">
        <v>30</v>
      </c>
      <c r="L71" t="s">
        <v>201</v>
      </c>
    </row>
    <row r="72" spans="1:12" x14ac:dyDescent="0.25">
      <c r="A72" t="s">
        <v>793</v>
      </c>
      <c r="B72" t="str">
        <f t="shared" si="4"/>
        <v>Identified</v>
      </c>
      <c r="C72" t="s">
        <v>57</v>
      </c>
      <c r="D72" t="s">
        <v>50</v>
      </c>
      <c r="E72">
        <v>4</v>
      </c>
      <c r="F72">
        <v>224190.33</v>
      </c>
      <c r="G72">
        <f t="shared" si="5"/>
        <v>896761.32</v>
      </c>
      <c r="H72" s="1">
        <v>45553</v>
      </c>
      <c r="I72" s="1" t="str">
        <f t="shared" si="6"/>
        <v>Sep</v>
      </c>
      <c r="J72" s="1" t="str">
        <f t="shared" si="7"/>
        <v>2024</v>
      </c>
      <c r="K72" t="s">
        <v>15</v>
      </c>
      <c r="L72" t="s">
        <v>794</v>
      </c>
    </row>
    <row r="73" spans="1:12" x14ac:dyDescent="0.25">
      <c r="A73" t="s">
        <v>480</v>
      </c>
      <c r="B73" t="str">
        <f t="shared" si="4"/>
        <v>Identified</v>
      </c>
      <c r="C73" t="s">
        <v>119</v>
      </c>
      <c r="D73" t="s">
        <v>25</v>
      </c>
      <c r="E73">
        <v>47</v>
      </c>
      <c r="F73">
        <v>178946.43</v>
      </c>
      <c r="G73">
        <f t="shared" si="5"/>
        <v>8410482.209999999</v>
      </c>
      <c r="H73" s="1">
        <v>45285</v>
      </c>
      <c r="I73" s="1" t="str">
        <f t="shared" si="6"/>
        <v>Dec</v>
      </c>
      <c r="J73" s="1" t="str">
        <f t="shared" si="7"/>
        <v>2023</v>
      </c>
      <c r="K73" t="s">
        <v>51</v>
      </c>
      <c r="L73" t="s">
        <v>1087</v>
      </c>
    </row>
    <row r="74" spans="1:12" x14ac:dyDescent="0.25">
      <c r="A74" t="s">
        <v>319</v>
      </c>
      <c r="B74" t="str">
        <f t="shared" si="4"/>
        <v>Identified</v>
      </c>
      <c r="C74" t="s">
        <v>18</v>
      </c>
      <c r="D74" t="s">
        <v>76</v>
      </c>
      <c r="E74">
        <v>47</v>
      </c>
      <c r="F74">
        <v>125656.55</v>
      </c>
      <c r="G74">
        <f t="shared" si="5"/>
        <v>5905857.8500000006</v>
      </c>
      <c r="H74" s="1">
        <v>45333</v>
      </c>
      <c r="I74" s="1" t="str">
        <f t="shared" si="6"/>
        <v>Feb</v>
      </c>
      <c r="J74" s="1" t="str">
        <f t="shared" si="7"/>
        <v>2024</v>
      </c>
      <c r="K74" t="s">
        <v>30</v>
      </c>
      <c r="L74" t="s">
        <v>320</v>
      </c>
    </row>
    <row r="75" spans="1:12" x14ac:dyDescent="0.25">
      <c r="A75" t="s">
        <v>263</v>
      </c>
      <c r="B75" t="str">
        <f t="shared" si="4"/>
        <v>Identified</v>
      </c>
      <c r="C75" t="s">
        <v>28</v>
      </c>
      <c r="D75" t="s">
        <v>50</v>
      </c>
      <c r="E75">
        <v>47</v>
      </c>
      <c r="F75">
        <v>155709.06</v>
      </c>
      <c r="G75">
        <f t="shared" si="5"/>
        <v>7318325.8200000003</v>
      </c>
      <c r="H75" s="1">
        <v>45248</v>
      </c>
      <c r="I75" s="1" t="str">
        <f t="shared" si="6"/>
        <v>Nov</v>
      </c>
      <c r="J75" s="1" t="str">
        <f t="shared" si="7"/>
        <v>2023</v>
      </c>
      <c r="K75" t="s">
        <v>51</v>
      </c>
      <c r="L75" t="s">
        <v>264</v>
      </c>
    </row>
    <row r="76" spans="1:12" x14ac:dyDescent="0.25">
      <c r="A76" t="s">
        <v>75</v>
      </c>
      <c r="B76" t="str">
        <f t="shared" si="4"/>
        <v>Identified</v>
      </c>
      <c r="C76" t="s">
        <v>36</v>
      </c>
      <c r="D76" t="s">
        <v>76</v>
      </c>
      <c r="E76">
        <v>47</v>
      </c>
      <c r="F76">
        <v>269680.75</v>
      </c>
      <c r="G76">
        <f t="shared" si="5"/>
        <v>12674995.25</v>
      </c>
      <c r="H76" s="1">
        <v>45543</v>
      </c>
      <c r="I76" s="1" t="str">
        <f t="shared" si="6"/>
        <v>Sep</v>
      </c>
      <c r="J76" s="1" t="str">
        <f t="shared" si="7"/>
        <v>2024</v>
      </c>
      <c r="K76" t="s">
        <v>15</v>
      </c>
      <c r="L76" t="s">
        <v>77</v>
      </c>
    </row>
    <row r="77" spans="1:12" x14ac:dyDescent="0.25">
      <c r="A77" t="s">
        <v>683</v>
      </c>
      <c r="B77" t="str">
        <f t="shared" si="4"/>
        <v>Identified</v>
      </c>
      <c r="C77" t="s">
        <v>22</v>
      </c>
      <c r="D77" t="s">
        <v>19</v>
      </c>
      <c r="E77">
        <v>71</v>
      </c>
      <c r="F77">
        <v>262939.37</v>
      </c>
      <c r="G77">
        <f t="shared" si="5"/>
        <v>18668695.27</v>
      </c>
      <c r="H77" s="1">
        <v>45736</v>
      </c>
      <c r="I77" s="1" t="str">
        <f t="shared" si="6"/>
        <v>Mar</v>
      </c>
      <c r="J77" s="1" t="str">
        <f t="shared" si="7"/>
        <v>2025</v>
      </c>
      <c r="K77" t="s">
        <v>30</v>
      </c>
      <c r="L77" t="s">
        <v>684</v>
      </c>
    </row>
    <row r="78" spans="1:12" x14ac:dyDescent="0.25">
      <c r="A78" t="s">
        <v>189</v>
      </c>
      <c r="B78" t="str">
        <f t="shared" si="4"/>
        <v>Identified</v>
      </c>
      <c r="C78" t="s">
        <v>93</v>
      </c>
      <c r="D78" t="s">
        <v>76</v>
      </c>
      <c r="E78">
        <v>47</v>
      </c>
      <c r="F78">
        <v>89900.5</v>
      </c>
      <c r="G78">
        <f t="shared" si="5"/>
        <v>4225323.5</v>
      </c>
      <c r="H78" s="1">
        <v>45218</v>
      </c>
      <c r="I78" s="1" t="str">
        <f t="shared" si="6"/>
        <v>Oct</v>
      </c>
      <c r="J78" s="1" t="str">
        <f t="shared" si="7"/>
        <v>2023</v>
      </c>
      <c r="K78" t="s">
        <v>15</v>
      </c>
      <c r="L78" t="s">
        <v>190</v>
      </c>
    </row>
    <row r="79" spans="1:12" x14ac:dyDescent="0.25">
      <c r="A79" t="s">
        <v>642</v>
      </c>
      <c r="B79" t="str">
        <f t="shared" si="4"/>
        <v>Identified</v>
      </c>
      <c r="C79" t="s">
        <v>97</v>
      </c>
      <c r="D79" t="s">
        <v>98</v>
      </c>
      <c r="E79">
        <v>47</v>
      </c>
      <c r="F79">
        <v>20653.63</v>
      </c>
      <c r="G79">
        <f t="shared" si="5"/>
        <v>970720.6100000001</v>
      </c>
      <c r="H79" s="1">
        <v>45772</v>
      </c>
      <c r="I79" s="1" t="str">
        <f t="shared" si="6"/>
        <v>Apr</v>
      </c>
      <c r="J79" s="1" t="str">
        <f t="shared" si="7"/>
        <v>2025</v>
      </c>
      <c r="K79" t="s">
        <v>30</v>
      </c>
      <c r="L79" t="s">
        <v>643</v>
      </c>
    </row>
    <row r="80" spans="1:12" x14ac:dyDescent="0.25">
      <c r="A80" t="s">
        <v>904</v>
      </c>
      <c r="B80" t="str">
        <f t="shared" si="4"/>
        <v>Identified</v>
      </c>
      <c r="C80" t="s">
        <v>87</v>
      </c>
      <c r="D80" t="s">
        <v>25</v>
      </c>
      <c r="E80">
        <v>47</v>
      </c>
      <c r="F80">
        <v>15030.06</v>
      </c>
      <c r="G80">
        <f t="shared" si="5"/>
        <v>706412.82</v>
      </c>
      <c r="H80" s="1">
        <v>45742</v>
      </c>
      <c r="I80" s="1" t="str">
        <f t="shared" si="6"/>
        <v>Mar</v>
      </c>
      <c r="J80" s="1" t="str">
        <f t="shared" si="7"/>
        <v>2025</v>
      </c>
      <c r="K80" t="s">
        <v>15</v>
      </c>
      <c r="L80" t="s">
        <v>905</v>
      </c>
    </row>
    <row r="81" spans="1:12" x14ac:dyDescent="0.25">
      <c r="A81" t="s">
        <v>123</v>
      </c>
      <c r="B81" t="str">
        <f t="shared" si="4"/>
        <v>Identified</v>
      </c>
      <c r="C81" t="s">
        <v>66</v>
      </c>
      <c r="D81" t="s">
        <v>76</v>
      </c>
      <c r="E81">
        <v>47</v>
      </c>
      <c r="F81">
        <v>210306.01</v>
      </c>
      <c r="G81">
        <f t="shared" si="5"/>
        <v>9884382.4700000007</v>
      </c>
      <c r="H81" s="1">
        <v>45184</v>
      </c>
      <c r="I81" s="1" t="str">
        <f t="shared" si="6"/>
        <v>Sep</v>
      </c>
      <c r="J81" s="1" t="str">
        <f t="shared" si="7"/>
        <v>2023</v>
      </c>
      <c r="K81" t="s">
        <v>11</v>
      </c>
      <c r="L81" t="s">
        <v>124</v>
      </c>
    </row>
    <row r="82" spans="1:12" x14ac:dyDescent="0.25">
      <c r="A82" t="s">
        <v>481</v>
      </c>
      <c r="B82" t="str">
        <f t="shared" si="4"/>
        <v>Identified</v>
      </c>
      <c r="C82" t="s">
        <v>46</v>
      </c>
      <c r="D82" t="s">
        <v>50</v>
      </c>
      <c r="E82">
        <v>47</v>
      </c>
      <c r="F82">
        <v>236317.52</v>
      </c>
      <c r="G82">
        <f t="shared" si="5"/>
        <v>11106923.439999999</v>
      </c>
      <c r="H82" s="1">
        <v>45453</v>
      </c>
      <c r="I82" s="1" t="str">
        <f t="shared" si="6"/>
        <v>Jun</v>
      </c>
      <c r="J82" s="1" t="str">
        <f t="shared" si="7"/>
        <v>2024</v>
      </c>
      <c r="K82" t="s">
        <v>15</v>
      </c>
      <c r="L82" t="s">
        <v>482</v>
      </c>
    </row>
    <row r="83" spans="1:12" x14ac:dyDescent="0.25">
      <c r="A83" t="s">
        <v>937</v>
      </c>
      <c r="B83" t="str">
        <f t="shared" si="4"/>
        <v>Identified</v>
      </c>
      <c r="C83" t="s">
        <v>143</v>
      </c>
      <c r="D83" t="s">
        <v>98</v>
      </c>
      <c r="E83">
        <v>20</v>
      </c>
      <c r="F83">
        <v>155709.06</v>
      </c>
      <c r="G83">
        <f t="shared" si="5"/>
        <v>3114181.2</v>
      </c>
      <c r="H83" s="1">
        <v>45445</v>
      </c>
      <c r="I83" s="1" t="str">
        <f t="shared" si="6"/>
        <v>Jun</v>
      </c>
      <c r="J83" s="1" t="str">
        <f t="shared" si="7"/>
        <v>2024</v>
      </c>
      <c r="K83" t="s">
        <v>30</v>
      </c>
      <c r="L83" t="s">
        <v>938</v>
      </c>
    </row>
    <row r="84" spans="1:12" x14ac:dyDescent="0.25">
      <c r="A84" t="s">
        <v>840</v>
      </c>
      <c r="B84" t="str">
        <f t="shared" si="4"/>
        <v>Identified</v>
      </c>
      <c r="C84" t="s">
        <v>83</v>
      </c>
      <c r="D84" t="s">
        <v>19</v>
      </c>
      <c r="E84">
        <v>63</v>
      </c>
      <c r="F84">
        <v>222505.09</v>
      </c>
      <c r="G84">
        <f t="shared" si="5"/>
        <v>14017820.67</v>
      </c>
      <c r="H84" s="1">
        <v>45119</v>
      </c>
      <c r="I84" s="1" t="str">
        <f t="shared" si="6"/>
        <v>Jul</v>
      </c>
      <c r="J84" s="1" t="str">
        <f t="shared" si="7"/>
        <v>2023</v>
      </c>
      <c r="K84" t="s">
        <v>30</v>
      </c>
      <c r="L84" t="s">
        <v>841</v>
      </c>
    </row>
    <row r="85" spans="1:12" x14ac:dyDescent="0.25">
      <c r="A85" t="s">
        <v>743</v>
      </c>
      <c r="B85" t="str">
        <f t="shared" si="4"/>
        <v>Identified</v>
      </c>
      <c r="C85" t="s">
        <v>49</v>
      </c>
      <c r="D85" t="s">
        <v>25</v>
      </c>
      <c r="E85">
        <v>47</v>
      </c>
      <c r="F85">
        <v>116831.51</v>
      </c>
      <c r="G85">
        <f t="shared" si="5"/>
        <v>5491080.9699999997</v>
      </c>
      <c r="H85" s="1">
        <v>45562</v>
      </c>
      <c r="I85" s="1" t="str">
        <f t="shared" si="6"/>
        <v>Sep</v>
      </c>
      <c r="J85" s="1" t="str">
        <f t="shared" si="7"/>
        <v>2024</v>
      </c>
      <c r="K85" t="s">
        <v>30</v>
      </c>
      <c r="L85" t="s">
        <v>744</v>
      </c>
    </row>
    <row r="86" spans="1:12" x14ac:dyDescent="0.25">
      <c r="A86" t="s">
        <v>818</v>
      </c>
      <c r="B86" t="str">
        <f t="shared" si="4"/>
        <v>Identified</v>
      </c>
      <c r="C86" t="s">
        <v>93</v>
      </c>
      <c r="D86" t="s">
        <v>76</v>
      </c>
      <c r="E86">
        <v>47</v>
      </c>
      <c r="F86">
        <v>108213.56</v>
      </c>
      <c r="G86">
        <f t="shared" si="5"/>
        <v>5086037.32</v>
      </c>
      <c r="H86" s="1">
        <v>45600</v>
      </c>
      <c r="I86" s="1" t="str">
        <f t="shared" si="6"/>
        <v>Nov</v>
      </c>
      <c r="J86" s="1" t="str">
        <f t="shared" si="7"/>
        <v>2024</v>
      </c>
      <c r="K86" t="s">
        <v>30</v>
      </c>
      <c r="L86" t="s">
        <v>1087</v>
      </c>
    </row>
    <row r="87" spans="1:12" x14ac:dyDescent="0.25">
      <c r="A87" t="s">
        <v>711</v>
      </c>
      <c r="B87" t="str">
        <f t="shared" si="4"/>
        <v>Identified</v>
      </c>
      <c r="C87" t="s">
        <v>33</v>
      </c>
      <c r="D87" t="s">
        <v>25</v>
      </c>
      <c r="E87">
        <v>47</v>
      </c>
      <c r="F87">
        <v>114655.81</v>
      </c>
      <c r="G87">
        <f t="shared" si="5"/>
        <v>5388823.0700000003</v>
      </c>
      <c r="H87" s="1">
        <v>45352</v>
      </c>
      <c r="I87" s="1" t="str">
        <f t="shared" si="6"/>
        <v>Mar</v>
      </c>
      <c r="J87" s="1" t="str">
        <f t="shared" si="7"/>
        <v>2024</v>
      </c>
      <c r="K87" t="s">
        <v>30</v>
      </c>
      <c r="L87" t="s">
        <v>712</v>
      </c>
    </row>
    <row r="88" spans="1:12" x14ac:dyDescent="0.25">
      <c r="A88" t="s">
        <v>344</v>
      </c>
      <c r="B88" t="str">
        <f t="shared" si="4"/>
        <v>Identified</v>
      </c>
      <c r="C88" t="s">
        <v>62</v>
      </c>
      <c r="D88" t="s">
        <v>98</v>
      </c>
      <c r="E88">
        <v>47</v>
      </c>
      <c r="F88">
        <v>89868.47</v>
      </c>
      <c r="G88">
        <f t="shared" si="5"/>
        <v>4223818.09</v>
      </c>
      <c r="H88" s="1">
        <v>45745</v>
      </c>
      <c r="I88" s="1" t="str">
        <f t="shared" si="6"/>
        <v>Mar</v>
      </c>
      <c r="J88" s="1" t="str">
        <f t="shared" si="7"/>
        <v>2025</v>
      </c>
      <c r="K88" t="s">
        <v>30</v>
      </c>
      <c r="L88" t="s">
        <v>345</v>
      </c>
    </row>
    <row r="89" spans="1:12" x14ac:dyDescent="0.25">
      <c r="A89" t="s">
        <v>785</v>
      </c>
      <c r="B89" t="str">
        <f t="shared" si="4"/>
        <v>Identified</v>
      </c>
      <c r="C89" t="s">
        <v>49</v>
      </c>
      <c r="D89" t="s">
        <v>98</v>
      </c>
      <c r="E89">
        <v>8</v>
      </c>
      <c r="F89">
        <v>272743.75</v>
      </c>
      <c r="G89">
        <f t="shared" si="5"/>
        <v>2181950</v>
      </c>
      <c r="H89" s="1">
        <v>45166</v>
      </c>
      <c r="I89" s="1" t="str">
        <f t="shared" si="6"/>
        <v>Aug</v>
      </c>
      <c r="J89" s="1" t="str">
        <f t="shared" si="7"/>
        <v>2023</v>
      </c>
      <c r="K89" t="s">
        <v>15</v>
      </c>
      <c r="L89" t="s">
        <v>786</v>
      </c>
    </row>
    <row r="90" spans="1:12" x14ac:dyDescent="0.25">
      <c r="A90" t="s">
        <v>245</v>
      </c>
      <c r="B90" t="str">
        <f t="shared" si="4"/>
        <v>Identified</v>
      </c>
      <c r="C90" t="s">
        <v>36</v>
      </c>
      <c r="D90" t="s">
        <v>98</v>
      </c>
      <c r="E90">
        <v>47</v>
      </c>
      <c r="F90">
        <v>64589.05</v>
      </c>
      <c r="G90">
        <f t="shared" si="5"/>
        <v>3035685.35</v>
      </c>
      <c r="H90" s="1">
        <v>45537</v>
      </c>
      <c r="I90" s="1" t="str">
        <f t="shared" si="6"/>
        <v>Sep</v>
      </c>
      <c r="J90" s="1" t="str">
        <f t="shared" si="7"/>
        <v>2024</v>
      </c>
      <c r="K90" t="s">
        <v>15</v>
      </c>
      <c r="L90" t="s">
        <v>246</v>
      </c>
    </row>
    <row r="91" spans="1:12" x14ac:dyDescent="0.25">
      <c r="A91" t="s">
        <v>267</v>
      </c>
      <c r="B91" t="str">
        <f t="shared" si="4"/>
        <v>Identified</v>
      </c>
      <c r="C91" t="s">
        <v>230</v>
      </c>
      <c r="D91" t="s">
        <v>59</v>
      </c>
      <c r="E91">
        <v>47</v>
      </c>
      <c r="F91">
        <v>68088.66</v>
      </c>
      <c r="G91">
        <f t="shared" si="5"/>
        <v>3200167.02</v>
      </c>
      <c r="H91" s="1">
        <v>45392</v>
      </c>
      <c r="I91" s="1" t="str">
        <f t="shared" si="6"/>
        <v>Apr</v>
      </c>
      <c r="J91" s="1" t="str">
        <f t="shared" si="7"/>
        <v>2024</v>
      </c>
      <c r="K91" t="s">
        <v>15</v>
      </c>
      <c r="L91" t="s">
        <v>1087</v>
      </c>
    </row>
    <row r="92" spans="1:12" x14ac:dyDescent="0.25">
      <c r="A92" t="s">
        <v>232</v>
      </c>
      <c r="B92" t="str">
        <f t="shared" si="4"/>
        <v>Identified</v>
      </c>
      <c r="C92" t="s">
        <v>115</v>
      </c>
      <c r="D92" t="s">
        <v>59</v>
      </c>
      <c r="E92">
        <v>47</v>
      </c>
      <c r="F92">
        <v>286616.46000000002</v>
      </c>
      <c r="G92">
        <f t="shared" si="5"/>
        <v>13470973.620000001</v>
      </c>
      <c r="H92" s="1">
        <v>45775</v>
      </c>
      <c r="I92" s="1" t="str">
        <f t="shared" si="6"/>
        <v>Apr</v>
      </c>
      <c r="J92" s="1" t="str">
        <f t="shared" si="7"/>
        <v>2025</v>
      </c>
      <c r="K92" t="s">
        <v>15</v>
      </c>
      <c r="L92" t="s">
        <v>233</v>
      </c>
    </row>
    <row r="93" spans="1:12" x14ac:dyDescent="0.25">
      <c r="A93" t="s">
        <v>945</v>
      </c>
      <c r="B93" t="str">
        <f t="shared" si="4"/>
        <v>Identified</v>
      </c>
      <c r="C93" t="s">
        <v>143</v>
      </c>
      <c r="D93" t="s">
        <v>59</v>
      </c>
      <c r="E93">
        <v>6</v>
      </c>
      <c r="F93">
        <v>150913.70000000001</v>
      </c>
      <c r="G93">
        <f t="shared" si="5"/>
        <v>905482.20000000007</v>
      </c>
      <c r="H93" s="1">
        <v>45445</v>
      </c>
      <c r="I93" s="1" t="str">
        <f t="shared" si="6"/>
        <v>Jun</v>
      </c>
      <c r="J93" s="1" t="str">
        <f t="shared" si="7"/>
        <v>2024</v>
      </c>
      <c r="K93" t="s">
        <v>15</v>
      </c>
      <c r="L93" t="s">
        <v>946</v>
      </c>
    </row>
    <row r="94" spans="1:12" x14ac:dyDescent="0.25">
      <c r="A94" t="s">
        <v>533</v>
      </c>
      <c r="B94" t="str">
        <f t="shared" si="4"/>
        <v>Identified</v>
      </c>
      <c r="C94" t="s">
        <v>39</v>
      </c>
      <c r="D94" t="s">
        <v>98</v>
      </c>
      <c r="E94">
        <v>18</v>
      </c>
      <c r="F94">
        <v>92796.78</v>
      </c>
      <c r="G94">
        <f t="shared" si="5"/>
        <v>1670342.04</v>
      </c>
      <c r="H94" s="1">
        <v>45429</v>
      </c>
      <c r="I94" s="1" t="str">
        <f t="shared" si="6"/>
        <v>May</v>
      </c>
      <c r="J94" s="1" t="str">
        <f t="shared" si="7"/>
        <v>2024</v>
      </c>
      <c r="K94" t="s">
        <v>15</v>
      </c>
      <c r="L94" t="s">
        <v>1087</v>
      </c>
    </row>
    <row r="95" spans="1:12" x14ac:dyDescent="0.25">
      <c r="A95" t="s">
        <v>349</v>
      </c>
      <c r="B95" t="str">
        <f t="shared" si="4"/>
        <v>Identified</v>
      </c>
      <c r="C95" t="s">
        <v>97</v>
      </c>
      <c r="D95" t="s">
        <v>29</v>
      </c>
      <c r="E95">
        <v>47</v>
      </c>
      <c r="F95">
        <v>100845.11</v>
      </c>
      <c r="G95">
        <f t="shared" si="5"/>
        <v>4739720.17</v>
      </c>
      <c r="H95" s="1">
        <v>45349</v>
      </c>
      <c r="I95" s="1" t="str">
        <f t="shared" si="6"/>
        <v>Feb</v>
      </c>
      <c r="J95" s="1" t="str">
        <f t="shared" si="7"/>
        <v>2024</v>
      </c>
      <c r="K95" t="s">
        <v>30</v>
      </c>
      <c r="L95" t="s">
        <v>350</v>
      </c>
    </row>
    <row r="96" spans="1:12" x14ac:dyDescent="0.25">
      <c r="A96" t="s">
        <v>487</v>
      </c>
      <c r="B96" t="str">
        <f t="shared" si="4"/>
        <v>Identified</v>
      </c>
      <c r="C96" t="s">
        <v>49</v>
      </c>
      <c r="D96" t="s">
        <v>76</v>
      </c>
      <c r="E96">
        <v>47</v>
      </c>
      <c r="F96">
        <v>108854.57</v>
      </c>
      <c r="G96">
        <f t="shared" si="5"/>
        <v>5116164.79</v>
      </c>
      <c r="H96" s="1">
        <v>45157</v>
      </c>
      <c r="I96" s="1" t="str">
        <f t="shared" si="6"/>
        <v>Aug</v>
      </c>
      <c r="J96" s="1" t="str">
        <f t="shared" si="7"/>
        <v>2023</v>
      </c>
      <c r="K96" t="s">
        <v>30</v>
      </c>
      <c r="L96" t="s">
        <v>488</v>
      </c>
    </row>
    <row r="97" spans="1:12" x14ac:dyDescent="0.25">
      <c r="A97" t="s">
        <v>604</v>
      </c>
      <c r="B97" t="str">
        <f t="shared" si="4"/>
        <v>Identified</v>
      </c>
      <c r="C97" t="s">
        <v>93</v>
      </c>
      <c r="D97" t="s">
        <v>98</v>
      </c>
      <c r="E97">
        <v>56</v>
      </c>
      <c r="F97">
        <v>155709.06</v>
      </c>
      <c r="G97">
        <f t="shared" si="5"/>
        <v>8719707.3599999994</v>
      </c>
      <c r="H97" s="1">
        <v>45207</v>
      </c>
      <c r="I97" s="1" t="str">
        <f t="shared" si="6"/>
        <v>Oct</v>
      </c>
      <c r="J97" s="1" t="str">
        <f t="shared" si="7"/>
        <v>2023</v>
      </c>
      <c r="K97" t="s">
        <v>30</v>
      </c>
      <c r="L97" t="s">
        <v>605</v>
      </c>
    </row>
    <row r="98" spans="1:12" x14ac:dyDescent="0.25">
      <c r="A98" t="s">
        <v>731</v>
      </c>
      <c r="B98" t="str">
        <f t="shared" si="4"/>
        <v>Identified</v>
      </c>
      <c r="C98" t="s">
        <v>62</v>
      </c>
      <c r="D98" t="s">
        <v>50</v>
      </c>
      <c r="E98">
        <v>33</v>
      </c>
      <c r="F98">
        <v>43733.35</v>
      </c>
      <c r="G98">
        <f t="shared" si="5"/>
        <v>1443200.55</v>
      </c>
      <c r="H98" s="1">
        <v>45771</v>
      </c>
      <c r="I98" s="1" t="str">
        <f t="shared" si="6"/>
        <v>Apr</v>
      </c>
      <c r="J98" s="1" t="str">
        <f t="shared" si="7"/>
        <v>2025</v>
      </c>
      <c r="K98" t="s">
        <v>51</v>
      </c>
      <c r="L98" t="s">
        <v>732</v>
      </c>
    </row>
    <row r="99" spans="1:12" x14ac:dyDescent="0.25">
      <c r="A99" t="s">
        <v>707</v>
      </c>
      <c r="B99" t="str">
        <f t="shared" si="4"/>
        <v>Identified</v>
      </c>
      <c r="C99" t="s">
        <v>28</v>
      </c>
      <c r="D99" t="s">
        <v>14</v>
      </c>
      <c r="E99">
        <v>47</v>
      </c>
      <c r="F99">
        <v>103652.24</v>
      </c>
      <c r="G99">
        <f t="shared" si="5"/>
        <v>4871655.28</v>
      </c>
      <c r="H99" s="1">
        <v>45332</v>
      </c>
      <c r="I99" s="1" t="str">
        <f t="shared" si="6"/>
        <v>Feb</v>
      </c>
      <c r="J99" s="1" t="str">
        <f t="shared" si="7"/>
        <v>2024</v>
      </c>
      <c r="K99" t="s">
        <v>30</v>
      </c>
      <c r="L99" t="s">
        <v>708</v>
      </c>
    </row>
    <row r="100" spans="1:12" x14ac:dyDescent="0.25">
      <c r="A100" t="s">
        <v>32</v>
      </c>
      <c r="B100" t="str">
        <f t="shared" si="4"/>
        <v>Identified</v>
      </c>
      <c r="C100" t="s">
        <v>33</v>
      </c>
      <c r="D100" t="s">
        <v>25</v>
      </c>
      <c r="E100">
        <v>36</v>
      </c>
      <c r="F100">
        <v>185141.9</v>
      </c>
      <c r="G100">
        <f t="shared" si="5"/>
        <v>6665108.3999999994</v>
      </c>
      <c r="H100" s="1">
        <v>45574</v>
      </c>
      <c r="I100" s="1" t="str">
        <f t="shared" si="6"/>
        <v>Oct</v>
      </c>
      <c r="J100" s="1" t="str">
        <f t="shared" si="7"/>
        <v>2024</v>
      </c>
      <c r="K100" t="s">
        <v>15</v>
      </c>
      <c r="L100" t="s">
        <v>34</v>
      </c>
    </row>
    <row r="101" spans="1:12" x14ac:dyDescent="0.25">
      <c r="A101" t="s">
        <v>179</v>
      </c>
      <c r="B101" t="str">
        <f t="shared" si="4"/>
        <v>Identified</v>
      </c>
      <c r="C101" t="s">
        <v>119</v>
      </c>
      <c r="D101" t="s">
        <v>19</v>
      </c>
      <c r="E101">
        <v>47</v>
      </c>
      <c r="F101">
        <v>79676.47</v>
      </c>
      <c r="G101">
        <f t="shared" si="5"/>
        <v>3744794.09</v>
      </c>
      <c r="H101" s="1">
        <v>45605</v>
      </c>
      <c r="I101" s="1" t="str">
        <f t="shared" si="6"/>
        <v>Nov</v>
      </c>
      <c r="J101" s="1" t="str">
        <f t="shared" si="7"/>
        <v>2024</v>
      </c>
      <c r="K101" t="s">
        <v>51</v>
      </c>
      <c r="L101" t="s">
        <v>180</v>
      </c>
    </row>
    <row r="102" spans="1:12" x14ac:dyDescent="0.25">
      <c r="A102" t="s">
        <v>338</v>
      </c>
      <c r="B102" t="str">
        <f t="shared" si="4"/>
        <v>Identified</v>
      </c>
      <c r="C102" t="s">
        <v>119</v>
      </c>
      <c r="D102" t="s">
        <v>59</v>
      </c>
      <c r="E102">
        <v>47</v>
      </c>
      <c r="F102">
        <v>87195.36</v>
      </c>
      <c r="G102">
        <f t="shared" si="5"/>
        <v>4098181.92</v>
      </c>
      <c r="H102" s="1">
        <v>45493</v>
      </c>
      <c r="I102" s="1" t="str">
        <f t="shared" si="6"/>
        <v>Jul</v>
      </c>
      <c r="J102" s="1" t="str">
        <f t="shared" si="7"/>
        <v>2024</v>
      </c>
      <c r="K102" t="s">
        <v>30</v>
      </c>
      <c r="L102" t="s">
        <v>339</v>
      </c>
    </row>
    <row r="103" spans="1:12" x14ac:dyDescent="0.25">
      <c r="A103" t="s">
        <v>973</v>
      </c>
      <c r="B103" t="str">
        <f t="shared" si="4"/>
        <v>Identified</v>
      </c>
      <c r="C103" t="s">
        <v>57</v>
      </c>
      <c r="D103" t="s">
        <v>76</v>
      </c>
      <c r="E103">
        <v>47</v>
      </c>
      <c r="F103">
        <v>137969.82</v>
      </c>
      <c r="G103">
        <f t="shared" si="5"/>
        <v>6484581.54</v>
      </c>
      <c r="H103" s="1">
        <v>45158</v>
      </c>
      <c r="I103" s="1" t="str">
        <f t="shared" si="6"/>
        <v>Aug</v>
      </c>
      <c r="J103" s="1" t="str">
        <f t="shared" si="7"/>
        <v>2023</v>
      </c>
      <c r="K103" t="s">
        <v>30</v>
      </c>
      <c r="L103" t="s">
        <v>974</v>
      </c>
    </row>
    <row r="104" spans="1:12" x14ac:dyDescent="0.25">
      <c r="A104" t="s">
        <v>507</v>
      </c>
      <c r="B104" t="str">
        <f t="shared" si="4"/>
        <v>Identified</v>
      </c>
      <c r="C104" t="s">
        <v>28</v>
      </c>
      <c r="D104" t="s">
        <v>29</v>
      </c>
      <c r="E104">
        <v>47</v>
      </c>
      <c r="F104">
        <v>204248.42</v>
      </c>
      <c r="G104">
        <f t="shared" si="5"/>
        <v>9599675.7400000002</v>
      </c>
      <c r="H104" s="1">
        <v>45124</v>
      </c>
      <c r="I104" s="1" t="str">
        <f t="shared" si="6"/>
        <v>Jul</v>
      </c>
      <c r="J104" s="1" t="str">
        <f t="shared" si="7"/>
        <v>2023</v>
      </c>
      <c r="K104" t="s">
        <v>30</v>
      </c>
      <c r="L104" t="s">
        <v>508</v>
      </c>
    </row>
    <row r="105" spans="1:12" x14ac:dyDescent="0.25">
      <c r="A105" t="s">
        <v>801</v>
      </c>
      <c r="B105" t="str">
        <f t="shared" si="4"/>
        <v>Identified</v>
      </c>
      <c r="C105" t="s">
        <v>36</v>
      </c>
      <c r="D105" t="s">
        <v>76</v>
      </c>
      <c r="E105">
        <v>47</v>
      </c>
      <c r="F105">
        <v>211278.69</v>
      </c>
      <c r="G105">
        <f t="shared" si="5"/>
        <v>9930098.4299999997</v>
      </c>
      <c r="H105" s="1">
        <v>45526</v>
      </c>
      <c r="I105" s="1" t="str">
        <f t="shared" si="6"/>
        <v>Aug</v>
      </c>
      <c r="J105" s="1" t="str">
        <f t="shared" si="7"/>
        <v>2024</v>
      </c>
      <c r="K105" t="s">
        <v>51</v>
      </c>
      <c r="L105" t="s">
        <v>802</v>
      </c>
    </row>
    <row r="106" spans="1:12" x14ac:dyDescent="0.25">
      <c r="A106" t="s">
        <v>872</v>
      </c>
      <c r="B106" t="str">
        <f t="shared" si="4"/>
        <v>Identified</v>
      </c>
      <c r="C106" t="s">
        <v>13</v>
      </c>
      <c r="D106" t="s">
        <v>50</v>
      </c>
      <c r="E106">
        <v>47</v>
      </c>
      <c r="F106">
        <v>217205.6</v>
      </c>
      <c r="G106">
        <f t="shared" si="5"/>
        <v>10208663.200000001</v>
      </c>
      <c r="H106" s="1">
        <v>45553</v>
      </c>
      <c r="I106" s="1" t="str">
        <f t="shared" si="6"/>
        <v>Sep</v>
      </c>
      <c r="J106" s="1" t="str">
        <f t="shared" si="7"/>
        <v>2024</v>
      </c>
      <c r="K106" t="s">
        <v>11</v>
      </c>
      <c r="L106" t="s">
        <v>873</v>
      </c>
    </row>
    <row r="107" spans="1:12" x14ac:dyDescent="0.25">
      <c r="A107" t="s">
        <v>27</v>
      </c>
      <c r="B107" t="str">
        <f t="shared" si="4"/>
        <v>Identified</v>
      </c>
      <c r="C107" t="s">
        <v>28</v>
      </c>
      <c r="D107" t="s">
        <v>29</v>
      </c>
      <c r="E107">
        <v>47</v>
      </c>
      <c r="F107">
        <v>118189.9</v>
      </c>
      <c r="G107">
        <f t="shared" si="5"/>
        <v>5554925.2999999998</v>
      </c>
      <c r="H107" s="1">
        <v>45168</v>
      </c>
      <c r="I107" s="1" t="str">
        <f t="shared" si="6"/>
        <v>Aug</v>
      </c>
      <c r="J107" s="1" t="str">
        <f t="shared" si="7"/>
        <v>2023</v>
      </c>
      <c r="K107" t="s">
        <v>30</v>
      </c>
      <c r="L107" t="s">
        <v>31</v>
      </c>
    </row>
    <row r="108" spans="1:12" x14ac:dyDescent="0.25">
      <c r="A108" t="s">
        <v>288</v>
      </c>
      <c r="B108" t="str">
        <f t="shared" si="4"/>
        <v>Identified</v>
      </c>
      <c r="C108" t="s">
        <v>66</v>
      </c>
      <c r="D108" t="s">
        <v>19</v>
      </c>
      <c r="E108">
        <v>47</v>
      </c>
      <c r="F108">
        <v>196041.39</v>
      </c>
      <c r="G108">
        <f t="shared" si="5"/>
        <v>9213945.3300000001</v>
      </c>
      <c r="H108" s="1">
        <v>45555</v>
      </c>
      <c r="I108" s="1" t="str">
        <f t="shared" si="6"/>
        <v>Sep</v>
      </c>
      <c r="J108" s="1" t="str">
        <f t="shared" si="7"/>
        <v>2024</v>
      </c>
      <c r="K108" t="s">
        <v>30</v>
      </c>
      <c r="L108" t="s">
        <v>289</v>
      </c>
    </row>
    <row r="109" spans="1:12" x14ac:dyDescent="0.25">
      <c r="A109" t="s">
        <v>156</v>
      </c>
      <c r="B109" t="str">
        <f t="shared" si="4"/>
        <v>Identified</v>
      </c>
      <c r="C109" t="s">
        <v>22</v>
      </c>
      <c r="D109" t="s">
        <v>98</v>
      </c>
      <c r="E109">
        <v>47</v>
      </c>
      <c r="F109">
        <v>143772.10999999999</v>
      </c>
      <c r="G109">
        <f t="shared" si="5"/>
        <v>6757289.169999999</v>
      </c>
      <c r="H109" s="1">
        <v>45616</v>
      </c>
      <c r="I109" s="1" t="str">
        <f t="shared" si="6"/>
        <v>Nov</v>
      </c>
      <c r="J109" s="1" t="str">
        <f t="shared" si="7"/>
        <v>2024</v>
      </c>
      <c r="K109" t="s">
        <v>15</v>
      </c>
      <c r="L109" t="s">
        <v>157</v>
      </c>
    </row>
    <row r="110" spans="1:12" x14ac:dyDescent="0.25">
      <c r="A110" t="s">
        <v>1027</v>
      </c>
      <c r="B110" t="str">
        <f t="shared" si="4"/>
        <v>Identified</v>
      </c>
      <c r="C110" t="s">
        <v>83</v>
      </c>
      <c r="D110" t="s">
        <v>29</v>
      </c>
      <c r="E110">
        <v>47</v>
      </c>
      <c r="F110">
        <v>81692.97</v>
      </c>
      <c r="G110">
        <f t="shared" si="5"/>
        <v>3839569.59</v>
      </c>
      <c r="H110" s="1">
        <v>45823</v>
      </c>
      <c r="I110" s="1" t="str">
        <f t="shared" si="6"/>
        <v>Jun</v>
      </c>
      <c r="J110" s="1" t="str">
        <f t="shared" si="7"/>
        <v>2025</v>
      </c>
      <c r="K110" t="s">
        <v>11</v>
      </c>
      <c r="L110" t="s">
        <v>1087</v>
      </c>
    </row>
    <row r="111" spans="1:12" x14ac:dyDescent="0.25">
      <c r="A111" t="s">
        <v>577</v>
      </c>
      <c r="B111" t="str">
        <f t="shared" si="4"/>
        <v>Identified</v>
      </c>
      <c r="C111" t="s">
        <v>87</v>
      </c>
      <c r="D111" t="s">
        <v>76</v>
      </c>
      <c r="E111">
        <v>47</v>
      </c>
      <c r="F111">
        <v>275175.96999999997</v>
      </c>
      <c r="G111">
        <f t="shared" si="5"/>
        <v>12933270.589999998</v>
      </c>
      <c r="H111" s="1">
        <v>45735</v>
      </c>
      <c r="I111" s="1" t="str">
        <f t="shared" si="6"/>
        <v>Mar</v>
      </c>
      <c r="J111" s="1" t="str">
        <f t="shared" si="7"/>
        <v>2025</v>
      </c>
      <c r="K111" t="s">
        <v>15</v>
      </c>
      <c r="L111" t="s">
        <v>578</v>
      </c>
    </row>
    <row r="112" spans="1:12" x14ac:dyDescent="0.25">
      <c r="A112" t="s">
        <v>751</v>
      </c>
      <c r="B112" t="str">
        <f t="shared" si="4"/>
        <v>Identified</v>
      </c>
      <c r="C112" t="s">
        <v>18</v>
      </c>
      <c r="D112" t="s">
        <v>19</v>
      </c>
      <c r="E112">
        <v>47</v>
      </c>
      <c r="F112">
        <v>155709.06</v>
      </c>
      <c r="G112">
        <f t="shared" si="5"/>
        <v>7318325.8200000003</v>
      </c>
      <c r="H112" s="1">
        <v>45132</v>
      </c>
      <c r="I112" s="1" t="str">
        <f t="shared" si="6"/>
        <v>Jul</v>
      </c>
      <c r="J112" s="1" t="str">
        <f t="shared" si="7"/>
        <v>2023</v>
      </c>
      <c r="K112" t="s">
        <v>11</v>
      </c>
      <c r="L112" t="s">
        <v>752</v>
      </c>
    </row>
    <row r="113" spans="1:12" x14ac:dyDescent="0.25">
      <c r="A113" t="s">
        <v>606</v>
      </c>
      <c r="B113" t="str">
        <f t="shared" si="4"/>
        <v>Identified</v>
      </c>
      <c r="C113" t="s">
        <v>39</v>
      </c>
      <c r="D113" t="s">
        <v>14</v>
      </c>
      <c r="E113">
        <v>47</v>
      </c>
      <c r="F113">
        <v>226975.73</v>
      </c>
      <c r="G113">
        <f t="shared" si="5"/>
        <v>10667859.310000001</v>
      </c>
      <c r="H113" s="1">
        <v>45224</v>
      </c>
      <c r="I113" s="1" t="str">
        <f t="shared" si="6"/>
        <v>Oct</v>
      </c>
      <c r="J113" s="1" t="str">
        <f t="shared" si="7"/>
        <v>2023</v>
      </c>
      <c r="K113" t="s">
        <v>30</v>
      </c>
      <c r="L113" t="s">
        <v>607</v>
      </c>
    </row>
    <row r="114" spans="1:12" x14ac:dyDescent="0.25">
      <c r="A114" t="s">
        <v>976</v>
      </c>
      <c r="B114" t="str">
        <f t="shared" si="4"/>
        <v>Identified</v>
      </c>
      <c r="C114" t="s">
        <v>87</v>
      </c>
      <c r="D114" t="s">
        <v>29</v>
      </c>
      <c r="E114">
        <v>47</v>
      </c>
      <c r="F114">
        <v>73340.759999999995</v>
      </c>
      <c r="G114">
        <f t="shared" si="5"/>
        <v>3447015.7199999997</v>
      </c>
      <c r="H114" s="1">
        <v>45439</v>
      </c>
      <c r="I114" s="1" t="str">
        <f t="shared" si="6"/>
        <v>May</v>
      </c>
      <c r="J114" s="1" t="str">
        <f t="shared" si="7"/>
        <v>2024</v>
      </c>
      <c r="K114" t="s">
        <v>51</v>
      </c>
      <c r="L114" t="s">
        <v>977</v>
      </c>
    </row>
    <row r="115" spans="1:12" x14ac:dyDescent="0.25">
      <c r="A115" t="s">
        <v>859</v>
      </c>
      <c r="B115" t="str">
        <f t="shared" si="4"/>
        <v>Identified</v>
      </c>
      <c r="C115" t="s">
        <v>39</v>
      </c>
      <c r="D115" t="s">
        <v>76</v>
      </c>
      <c r="E115">
        <v>47</v>
      </c>
      <c r="F115">
        <v>74096.14</v>
      </c>
      <c r="G115">
        <f t="shared" si="5"/>
        <v>3482518.58</v>
      </c>
      <c r="H115" s="1">
        <v>45278</v>
      </c>
      <c r="I115" s="1" t="str">
        <f t="shared" si="6"/>
        <v>Dec</v>
      </c>
      <c r="J115" s="1" t="str">
        <f t="shared" si="7"/>
        <v>2023</v>
      </c>
      <c r="K115" t="s">
        <v>30</v>
      </c>
      <c r="L115" t="s">
        <v>860</v>
      </c>
    </row>
    <row r="116" spans="1:12" x14ac:dyDescent="0.25">
      <c r="A116" t="s">
        <v>737</v>
      </c>
      <c r="B116" t="str">
        <f t="shared" si="4"/>
        <v>Identified</v>
      </c>
      <c r="C116" t="s">
        <v>49</v>
      </c>
      <c r="D116" t="s">
        <v>59</v>
      </c>
      <c r="E116">
        <v>46</v>
      </c>
      <c r="F116">
        <v>17758.37</v>
      </c>
      <c r="G116">
        <f t="shared" si="5"/>
        <v>816885.0199999999</v>
      </c>
      <c r="H116" s="1">
        <v>45904</v>
      </c>
      <c r="I116" s="1" t="str">
        <f t="shared" si="6"/>
        <v>Sep</v>
      </c>
      <c r="J116" s="1" t="str">
        <f t="shared" si="7"/>
        <v>2025</v>
      </c>
      <c r="K116" t="s">
        <v>15</v>
      </c>
      <c r="L116" t="s">
        <v>738</v>
      </c>
    </row>
    <row r="117" spans="1:12" x14ac:dyDescent="0.25">
      <c r="A117" t="s">
        <v>227</v>
      </c>
      <c r="B117" t="str">
        <f t="shared" si="4"/>
        <v>Identified</v>
      </c>
      <c r="C117" t="s">
        <v>57</v>
      </c>
      <c r="D117" t="s">
        <v>19</v>
      </c>
      <c r="E117">
        <v>74</v>
      </c>
      <c r="F117">
        <v>44369.599999999999</v>
      </c>
      <c r="G117">
        <f t="shared" si="5"/>
        <v>3283350.4</v>
      </c>
      <c r="H117" s="1">
        <v>45783</v>
      </c>
      <c r="I117" s="1" t="str">
        <f t="shared" si="6"/>
        <v>May</v>
      </c>
      <c r="J117" s="1" t="str">
        <f t="shared" si="7"/>
        <v>2025</v>
      </c>
      <c r="K117" t="s">
        <v>11</v>
      </c>
      <c r="L117" t="s">
        <v>228</v>
      </c>
    </row>
    <row r="118" spans="1:12" x14ac:dyDescent="0.25">
      <c r="A118" t="s">
        <v>741</v>
      </c>
      <c r="B118" t="str">
        <f t="shared" si="4"/>
        <v>Identified</v>
      </c>
      <c r="C118" t="s">
        <v>18</v>
      </c>
      <c r="D118" t="s">
        <v>25</v>
      </c>
      <c r="E118">
        <v>47</v>
      </c>
      <c r="F118">
        <v>159232.54999999999</v>
      </c>
      <c r="G118">
        <f t="shared" si="5"/>
        <v>7483929.8499999996</v>
      </c>
      <c r="H118" s="1">
        <v>45024</v>
      </c>
      <c r="I118" s="1" t="str">
        <f t="shared" si="6"/>
        <v>Apr</v>
      </c>
      <c r="J118" s="1" t="str">
        <f t="shared" si="7"/>
        <v>2023</v>
      </c>
      <c r="K118" t="s">
        <v>51</v>
      </c>
      <c r="L118" t="s">
        <v>742</v>
      </c>
    </row>
    <row r="119" spans="1:12" x14ac:dyDescent="0.25">
      <c r="A119" t="s">
        <v>330</v>
      </c>
      <c r="B119" t="str">
        <f t="shared" si="4"/>
        <v>Identified</v>
      </c>
      <c r="C119" t="s">
        <v>62</v>
      </c>
      <c r="D119" t="s">
        <v>19</v>
      </c>
      <c r="E119">
        <v>47</v>
      </c>
      <c r="F119">
        <v>236494.21</v>
      </c>
      <c r="G119">
        <f t="shared" si="5"/>
        <v>11115227.869999999</v>
      </c>
      <c r="H119" s="1">
        <v>45452</v>
      </c>
      <c r="I119" s="1" t="str">
        <f t="shared" si="6"/>
        <v>Jun</v>
      </c>
      <c r="J119" s="1" t="str">
        <f t="shared" si="7"/>
        <v>2024</v>
      </c>
      <c r="K119" t="s">
        <v>30</v>
      </c>
      <c r="L119" t="s">
        <v>331</v>
      </c>
    </row>
    <row r="120" spans="1:12" x14ac:dyDescent="0.25">
      <c r="A120" t="s">
        <v>403</v>
      </c>
      <c r="B120" t="str">
        <f t="shared" si="4"/>
        <v>Identified</v>
      </c>
      <c r="C120" t="s">
        <v>119</v>
      </c>
      <c r="D120" t="s">
        <v>14</v>
      </c>
      <c r="E120">
        <v>47</v>
      </c>
      <c r="F120">
        <v>143497.5</v>
      </c>
      <c r="G120">
        <f t="shared" si="5"/>
        <v>6744382.5</v>
      </c>
      <c r="H120" s="1">
        <v>45305</v>
      </c>
      <c r="I120" s="1" t="str">
        <f t="shared" si="6"/>
        <v>Jan</v>
      </c>
      <c r="J120" s="1" t="str">
        <f t="shared" si="7"/>
        <v>2024</v>
      </c>
      <c r="K120" t="s">
        <v>15</v>
      </c>
      <c r="L120" t="s">
        <v>404</v>
      </c>
    </row>
    <row r="121" spans="1:12" x14ac:dyDescent="0.25">
      <c r="A121" t="s">
        <v>458</v>
      </c>
      <c r="B121" t="str">
        <f t="shared" si="4"/>
        <v>Identified</v>
      </c>
      <c r="C121" t="s">
        <v>28</v>
      </c>
      <c r="D121" t="s">
        <v>98</v>
      </c>
      <c r="E121">
        <v>47</v>
      </c>
      <c r="F121">
        <v>136766.10999999999</v>
      </c>
      <c r="G121">
        <f t="shared" si="5"/>
        <v>6428007.169999999</v>
      </c>
      <c r="H121" s="1">
        <v>45480</v>
      </c>
      <c r="I121" s="1" t="str">
        <f t="shared" si="6"/>
        <v>Jul</v>
      </c>
      <c r="J121" s="1" t="str">
        <f t="shared" si="7"/>
        <v>2024</v>
      </c>
      <c r="K121" t="s">
        <v>15</v>
      </c>
      <c r="L121" t="s">
        <v>459</v>
      </c>
    </row>
    <row r="122" spans="1:12" x14ac:dyDescent="0.25">
      <c r="A122" t="s">
        <v>24</v>
      </c>
      <c r="B122" t="str">
        <f t="shared" si="4"/>
        <v>Identified</v>
      </c>
      <c r="C122" t="s">
        <v>22</v>
      </c>
      <c r="D122" t="s">
        <v>25</v>
      </c>
      <c r="E122">
        <v>47</v>
      </c>
      <c r="F122">
        <v>95899.74</v>
      </c>
      <c r="G122">
        <f t="shared" si="5"/>
        <v>4507287.78</v>
      </c>
      <c r="H122" s="1">
        <v>45992</v>
      </c>
      <c r="I122" s="1" t="str">
        <f t="shared" si="6"/>
        <v>Dec</v>
      </c>
      <c r="J122" s="1" t="str">
        <f t="shared" si="7"/>
        <v>2025</v>
      </c>
      <c r="K122" t="s">
        <v>30</v>
      </c>
      <c r="L122" t="s">
        <v>26</v>
      </c>
    </row>
    <row r="123" spans="1:12" x14ac:dyDescent="0.25">
      <c r="A123" t="s">
        <v>155</v>
      </c>
      <c r="B123" t="str">
        <f t="shared" si="4"/>
        <v>Identified</v>
      </c>
      <c r="C123" t="s">
        <v>49</v>
      </c>
      <c r="D123" t="s">
        <v>76</v>
      </c>
      <c r="E123">
        <v>47</v>
      </c>
      <c r="F123">
        <v>299437.8</v>
      </c>
      <c r="G123">
        <f t="shared" si="5"/>
        <v>14073576.6</v>
      </c>
      <c r="H123" s="1">
        <v>45364</v>
      </c>
      <c r="I123" s="1" t="str">
        <f t="shared" si="6"/>
        <v>Mar</v>
      </c>
      <c r="J123" s="1" t="str">
        <f t="shared" si="7"/>
        <v>2024</v>
      </c>
      <c r="K123" t="s">
        <v>30</v>
      </c>
      <c r="L123" t="s">
        <v>1087</v>
      </c>
    </row>
    <row r="124" spans="1:12" x14ac:dyDescent="0.25">
      <c r="A124" t="s">
        <v>407</v>
      </c>
      <c r="B124" t="str">
        <f t="shared" si="4"/>
        <v>Identified</v>
      </c>
      <c r="C124" t="s">
        <v>62</v>
      </c>
      <c r="D124" t="s">
        <v>29</v>
      </c>
      <c r="E124">
        <v>47</v>
      </c>
      <c r="F124">
        <v>2545.62</v>
      </c>
      <c r="G124">
        <f t="shared" si="5"/>
        <v>119644.14</v>
      </c>
      <c r="H124" s="1">
        <v>45213</v>
      </c>
      <c r="I124" s="1" t="str">
        <f t="shared" si="6"/>
        <v>Oct</v>
      </c>
      <c r="J124" s="1" t="str">
        <f t="shared" si="7"/>
        <v>2023</v>
      </c>
      <c r="K124" t="s">
        <v>30</v>
      </c>
      <c r="L124" t="s">
        <v>408</v>
      </c>
    </row>
    <row r="125" spans="1:12" x14ac:dyDescent="0.25">
      <c r="A125" t="s">
        <v>340</v>
      </c>
      <c r="B125" t="str">
        <f t="shared" si="4"/>
        <v>Identified</v>
      </c>
      <c r="C125" t="s">
        <v>93</v>
      </c>
      <c r="D125" t="s">
        <v>25</v>
      </c>
      <c r="E125">
        <v>47</v>
      </c>
      <c r="F125">
        <v>155709.06</v>
      </c>
      <c r="G125">
        <f t="shared" si="5"/>
        <v>7318325.8200000003</v>
      </c>
      <c r="H125" s="1">
        <v>45308</v>
      </c>
      <c r="I125" s="1" t="str">
        <f t="shared" si="6"/>
        <v>Jan</v>
      </c>
      <c r="J125" s="1" t="str">
        <f t="shared" si="7"/>
        <v>2024</v>
      </c>
      <c r="K125" t="s">
        <v>30</v>
      </c>
      <c r="L125" t="s">
        <v>341</v>
      </c>
    </row>
    <row r="126" spans="1:12" x14ac:dyDescent="0.25">
      <c r="A126" t="s">
        <v>542</v>
      </c>
      <c r="B126" t="str">
        <f t="shared" si="4"/>
        <v>Identified</v>
      </c>
      <c r="C126" t="s">
        <v>230</v>
      </c>
      <c r="D126" t="s">
        <v>50</v>
      </c>
      <c r="E126">
        <v>47</v>
      </c>
      <c r="F126">
        <v>22372.34</v>
      </c>
      <c r="G126">
        <f t="shared" si="5"/>
        <v>1051499.98</v>
      </c>
      <c r="H126" s="1">
        <v>45399</v>
      </c>
      <c r="I126" s="1" t="str">
        <f t="shared" si="6"/>
        <v>Apr</v>
      </c>
      <c r="J126" s="1" t="str">
        <f t="shared" si="7"/>
        <v>2024</v>
      </c>
      <c r="K126" t="s">
        <v>30</v>
      </c>
      <c r="L126" t="s">
        <v>543</v>
      </c>
    </row>
    <row r="127" spans="1:12" x14ac:dyDescent="0.25">
      <c r="A127" t="s">
        <v>346</v>
      </c>
      <c r="B127" t="str">
        <f t="shared" si="4"/>
        <v>Identified</v>
      </c>
      <c r="C127" t="s">
        <v>13</v>
      </c>
      <c r="D127" t="s">
        <v>29</v>
      </c>
      <c r="E127">
        <v>47</v>
      </c>
      <c r="F127">
        <v>181033.5</v>
      </c>
      <c r="G127">
        <f t="shared" si="5"/>
        <v>8508574.5</v>
      </c>
      <c r="H127" s="1">
        <v>45650</v>
      </c>
      <c r="I127" s="1" t="str">
        <f t="shared" si="6"/>
        <v>Dec</v>
      </c>
      <c r="J127" s="1" t="str">
        <f t="shared" si="7"/>
        <v>2024</v>
      </c>
      <c r="K127" t="s">
        <v>30</v>
      </c>
      <c r="L127" t="s">
        <v>347</v>
      </c>
    </row>
    <row r="128" spans="1:12" x14ac:dyDescent="0.25">
      <c r="A128" t="s">
        <v>478</v>
      </c>
      <c r="B128" t="str">
        <f t="shared" si="4"/>
        <v>Identified</v>
      </c>
      <c r="C128" t="s">
        <v>46</v>
      </c>
      <c r="D128" t="s">
        <v>14</v>
      </c>
      <c r="E128">
        <v>47</v>
      </c>
      <c r="F128">
        <v>204262.41</v>
      </c>
      <c r="G128">
        <f t="shared" si="5"/>
        <v>9600333.2699999996</v>
      </c>
      <c r="H128" s="1">
        <v>45304</v>
      </c>
      <c r="I128" s="1" t="str">
        <f t="shared" si="6"/>
        <v>Jan</v>
      </c>
      <c r="J128" s="1" t="str">
        <f t="shared" si="7"/>
        <v>2024</v>
      </c>
      <c r="K128" t="s">
        <v>30</v>
      </c>
      <c r="L128" t="s">
        <v>479</v>
      </c>
    </row>
    <row r="129" spans="1:12" x14ac:dyDescent="0.25">
      <c r="A129" t="s">
        <v>649</v>
      </c>
      <c r="B129" t="str">
        <f t="shared" si="4"/>
        <v>Identified</v>
      </c>
      <c r="C129" t="s">
        <v>28</v>
      </c>
      <c r="D129" t="s">
        <v>25</v>
      </c>
      <c r="E129">
        <v>47</v>
      </c>
      <c r="F129">
        <v>261727.62</v>
      </c>
      <c r="G129">
        <f t="shared" si="5"/>
        <v>12301198.140000001</v>
      </c>
      <c r="H129" s="1">
        <v>45512</v>
      </c>
      <c r="I129" s="1" t="str">
        <f t="shared" si="6"/>
        <v>Aug</v>
      </c>
      <c r="J129" s="1" t="str">
        <f t="shared" si="7"/>
        <v>2024</v>
      </c>
      <c r="K129" t="s">
        <v>30</v>
      </c>
      <c r="L129" t="s">
        <v>650</v>
      </c>
    </row>
    <row r="130" spans="1:12" x14ac:dyDescent="0.25">
      <c r="A130" t="s">
        <v>747</v>
      </c>
      <c r="B130" t="str">
        <f t="shared" ref="B130:B193" si="8">IF(A130="Unknown","Unidentified","Identified")</f>
        <v>Identified</v>
      </c>
      <c r="C130" t="s">
        <v>97</v>
      </c>
      <c r="D130" t="s">
        <v>14</v>
      </c>
      <c r="E130">
        <v>44</v>
      </c>
      <c r="F130">
        <v>99413.77</v>
      </c>
      <c r="G130">
        <f t="shared" ref="G130:G193" si="9">F130*E130</f>
        <v>4374205.88</v>
      </c>
      <c r="H130" s="1">
        <v>45026</v>
      </c>
      <c r="I130" s="1" t="str">
        <f t="shared" ref="I130:I193" si="10">TEXT(H130,"MMM")</f>
        <v>Apr</v>
      </c>
      <c r="J130" s="1" t="str">
        <f t="shared" ref="J130:J193" si="11">TEXT(H130,"YYYY")</f>
        <v>2023</v>
      </c>
      <c r="K130" t="s">
        <v>51</v>
      </c>
      <c r="L130" t="s">
        <v>748</v>
      </c>
    </row>
    <row r="131" spans="1:12" x14ac:dyDescent="0.25">
      <c r="A131" t="s">
        <v>365</v>
      </c>
      <c r="B131" t="str">
        <f t="shared" si="8"/>
        <v>Identified</v>
      </c>
      <c r="C131" t="s">
        <v>22</v>
      </c>
      <c r="D131" t="s">
        <v>50</v>
      </c>
      <c r="E131">
        <v>47</v>
      </c>
      <c r="F131">
        <v>82214.710000000006</v>
      </c>
      <c r="G131">
        <f t="shared" si="9"/>
        <v>3864091.37</v>
      </c>
      <c r="H131" s="1">
        <v>45494</v>
      </c>
      <c r="I131" s="1" t="str">
        <f t="shared" si="10"/>
        <v>Jul</v>
      </c>
      <c r="J131" s="1" t="str">
        <f t="shared" si="11"/>
        <v>2024</v>
      </c>
      <c r="K131" t="s">
        <v>51</v>
      </c>
      <c r="L131" t="s">
        <v>366</v>
      </c>
    </row>
    <row r="132" spans="1:12" x14ac:dyDescent="0.25">
      <c r="A132" t="s">
        <v>1031</v>
      </c>
      <c r="B132" t="str">
        <f t="shared" si="8"/>
        <v>Identified</v>
      </c>
      <c r="C132" t="s">
        <v>57</v>
      </c>
      <c r="D132" t="s">
        <v>59</v>
      </c>
      <c r="E132">
        <v>47</v>
      </c>
      <c r="F132">
        <v>205486.41</v>
      </c>
      <c r="G132">
        <f t="shared" si="9"/>
        <v>9657861.2699999996</v>
      </c>
      <c r="H132" s="1">
        <v>45624</v>
      </c>
      <c r="I132" s="1" t="str">
        <f t="shared" si="10"/>
        <v>Nov</v>
      </c>
      <c r="J132" s="1" t="str">
        <f t="shared" si="11"/>
        <v>2024</v>
      </c>
      <c r="K132" t="s">
        <v>30</v>
      </c>
      <c r="L132" t="s">
        <v>1032</v>
      </c>
    </row>
    <row r="133" spans="1:12" x14ac:dyDescent="0.25">
      <c r="A133" t="s">
        <v>687</v>
      </c>
      <c r="B133" t="str">
        <f t="shared" si="8"/>
        <v>Identified</v>
      </c>
      <c r="C133" t="s">
        <v>143</v>
      </c>
      <c r="D133" t="s">
        <v>98</v>
      </c>
      <c r="E133">
        <v>47</v>
      </c>
      <c r="F133">
        <v>156614.69</v>
      </c>
      <c r="G133">
        <f t="shared" si="9"/>
        <v>7360890.4299999997</v>
      </c>
      <c r="H133" s="1">
        <v>45681</v>
      </c>
      <c r="I133" s="1" t="str">
        <f t="shared" si="10"/>
        <v>Jan</v>
      </c>
      <c r="J133" s="1" t="str">
        <f t="shared" si="11"/>
        <v>2025</v>
      </c>
      <c r="K133" t="s">
        <v>30</v>
      </c>
      <c r="L133" t="s">
        <v>688</v>
      </c>
    </row>
    <row r="134" spans="1:12" x14ac:dyDescent="0.25">
      <c r="A134" t="s">
        <v>254</v>
      </c>
      <c r="B134" t="str">
        <f t="shared" si="8"/>
        <v>Identified</v>
      </c>
      <c r="C134" t="s">
        <v>87</v>
      </c>
      <c r="D134" t="s">
        <v>50</v>
      </c>
      <c r="E134">
        <v>47</v>
      </c>
      <c r="F134">
        <v>33213.360000000001</v>
      </c>
      <c r="G134">
        <f t="shared" si="9"/>
        <v>1561027.92</v>
      </c>
      <c r="H134" s="1">
        <v>45532</v>
      </c>
      <c r="I134" s="1" t="str">
        <f t="shared" si="10"/>
        <v>Aug</v>
      </c>
      <c r="J134" s="1" t="str">
        <f t="shared" si="11"/>
        <v>2024</v>
      </c>
      <c r="K134" t="s">
        <v>51</v>
      </c>
      <c r="L134" t="s">
        <v>255</v>
      </c>
    </row>
    <row r="135" spans="1:12" x14ac:dyDescent="0.25">
      <c r="A135" t="s">
        <v>451</v>
      </c>
      <c r="B135" t="str">
        <f t="shared" si="8"/>
        <v>Identified</v>
      </c>
      <c r="C135" t="s">
        <v>18</v>
      </c>
      <c r="D135" t="s">
        <v>19</v>
      </c>
      <c r="E135">
        <v>65</v>
      </c>
      <c r="F135">
        <v>66644.350000000006</v>
      </c>
      <c r="G135">
        <f t="shared" si="9"/>
        <v>4331882.75</v>
      </c>
      <c r="H135" s="1">
        <v>45710</v>
      </c>
      <c r="I135" s="1" t="str">
        <f t="shared" si="10"/>
        <v>Feb</v>
      </c>
      <c r="J135" s="1" t="str">
        <f t="shared" si="11"/>
        <v>2025</v>
      </c>
      <c r="K135" t="s">
        <v>30</v>
      </c>
      <c r="L135" t="s">
        <v>452</v>
      </c>
    </row>
    <row r="136" spans="1:12" x14ac:dyDescent="0.25">
      <c r="A136" t="s">
        <v>114</v>
      </c>
      <c r="B136" t="str">
        <f t="shared" si="8"/>
        <v>Identified</v>
      </c>
      <c r="C136" t="s">
        <v>115</v>
      </c>
      <c r="D136" t="s">
        <v>98</v>
      </c>
      <c r="E136">
        <v>65</v>
      </c>
      <c r="F136">
        <v>246587.56</v>
      </c>
      <c r="G136">
        <f t="shared" si="9"/>
        <v>16028191.4</v>
      </c>
      <c r="H136" s="1">
        <v>45605</v>
      </c>
      <c r="I136" s="1" t="str">
        <f t="shared" si="10"/>
        <v>Nov</v>
      </c>
      <c r="J136" s="1" t="str">
        <f t="shared" si="11"/>
        <v>2024</v>
      </c>
      <c r="K136" t="s">
        <v>15</v>
      </c>
      <c r="L136" t="s">
        <v>116</v>
      </c>
    </row>
    <row r="137" spans="1:12" x14ac:dyDescent="0.25">
      <c r="A137" t="s">
        <v>445</v>
      </c>
      <c r="B137" t="str">
        <f t="shared" si="8"/>
        <v>Identified</v>
      </c>
      <c r="C137" t="s">
        <v>39</v>
      </c>
      <c r="D137" t="s">
        <v>98</v>
      </c>
      <c r="E137">
        <v>47</v>
      </c>
      <c r="F137">
        <v>191794.04</v>
      </c>
      <c r="G137">
        <f t="shared" si="9"/>
        <v>9014319.8800000008</v>
      </c>
      <c r="H137" s="1">
        <v>45678</v>
      </c>
      <c r="I137" s="1" t="str">
        <f t="shared" si="10"/>
        <v>Jan</v>
      </c>
      <c r="J137" s="1" t="str">
        <f t="shared" si="11"/>
        <v>2025</v>
      </c>
      <c r="K137" t="s">
        <v>15</v>
      </c>
      <c r="L137" t="s">
        <v>446</v>
      </c>
    </row>
    <row r="138" spans="1:12" x14ac:dyDescent="0.25">
      <c r="A138" t="s">
        <v>811</v>
      </c>
      <c r="B138" t="str">
        <f t="shared" si="8"/>
        <v>Identified</v>
      </c>
      <c r="C138" t="s">
        <v>93</v>
      </c>
      <c r="D138" t="s">
        <v>59</v>
      </c>
      <c r="E138">
        <v>47</v>
      </c>
      <c r="F138">
        <v>85276.23</v>
      </c>
      <c r="G138">
        <f t="shared" si="9"/>
        <v>4007982.8099999996</v>
      </c>
      <c r="H138" s="1">
        <v>45826</v>
      </c>
      <c r="I138" s="1" t="str">
        <f t="shared" si="10"/>
        <v>Jun</v>
      </c>
      <c r="J138" s="1" t="str">
        <f t="shared" si="11"/>
        <v>2025</v>
      </c>
      <c r="K138" t="s">
        <v>30</v>
      </c>
      <c r="L138" t="s">
        <v>812</v>
      </c>
    </row>
    <row r="139" spans="1:12" x14ac:dyDescent="0.25">
      <c r="A139" t="s">
        <v>586</v>
      </c>
      <c r="B139" t="str">
        <f t="shared" si="8"/>
        <v>Identified</v>
      </c>
      <c r="C139" t="s">
        <v>49</v>
      </c>
      <c r="D139" t="s">
        <v>50</v>
      </c>
      <c r="E139">
        <v>47</v>
      </c>
      <c r="F139">
        <v>155709.06</v>
      </c>
      <c r="G139">
        <f t="shared" si="9"/>
        <v>7318325.8200000003</v>
      </c>
      <c r="H139" s="1">
        <v>45401</v>
      </c>
      <c r="I139" s="1" t="str">
        <f t="shared" si="10"/>
        <v>Apr</v>
      </c>
      <c r="J139" s="1" t="str">
        <f t="shared" si="11"/>
        <v>2024</v>
      </c>
      <c r="K139" t="s">
        <v>11</v>
      </c>
      <c r="L139" t="s">
        <v>1087</v>
      </c>
    </row>
    <row r="140" spans="1:12" x14ac:dyDescent="0.25">
      <c r="A140" t="s">
        <v>243</v>
      </c>
      <c r="B140" t="str">
        <f t="shared" si="8"/>
        <v>Identified</v>
      </c>
      <c r="C140" t="s">
        <v>22</v>
      </c>
      <c r="D140" t="s">
        <v>50</v>
      </c>
      <c r="E140">
        <v>35</v>
      </c>
      <c r="F140">
        <v>155709.06</v>
      </c>
      <c r="G140">
        <f t="shared" si="9"/>
        <v>5449817.0999999996</v>
      </c>
      <c r="H140" s="1">
        <v>45574</v>
      </c>
      <c r="I140" s="1" t="str">
        <f t="shared" si="10"/>
        <v>Oct</v>
      </c>
      <c r="J140" s="1" t="str">
        <f t="shared" si="11"/>
        <v>2024</v>
      </c>
      <c r="K140" t="s">
        <v>30</v>
      </c>
      <c r="L140" t="s">
        <v>244</v>
      </c>
    </row>
    <row r="141" spans="1:12" x14ac:dyDescent="0.25">
      <c r="A141" t="s">
        <v>369</v>
      </c>
      <c r="B141" t="str">
        <f t="shared" si="8"/>
        <v>Identified</v>
      </c>
      <c r="C141" t="s">
        <v>39</v>
      </c>
      <c r="D141" t="s">
        <v>29</v>
      </c>
      <c r="E141">
        <v>47</v>
      </c>
      <c r="F141">
        <v>99539.89</v>
      </c>
      <c r="G141">
        <f t="shared" si="9"/>
        <v>4678374.83</v>
      </c>
      <c r="H141" s="1">
        <v>45276</v>
      </c>
      <c r="I141" s="1" t="str">
        <f t="shared" si="10"/>
        <v>Dec</v>
      </c>
      <c r="J141" s="1" t="str">
        <f t="shared" si="11"/>
        <v>2023</v>
      </c>
      <c r="K141" t="s">
        <v>51</v>
      </c>
      <c r="L141" t="s">
        <v>370</v>
      </c>
    </row>
    <row r="142" spans="1:12" x14ac:dyDescent="0.25">
      <c r="A142" t="s">
        <v>489</v>
      </c>
      <c r="B142" t="str">
        <f t="shared" si="8"/>
        <v>Identified</v>
      </c>
      <c r="C142" t="s">
        <v>33</v>
      </c>
      <c r="D142" t="s">
        <v>29</v>
      </c>
      <c r="E142">
        <v>47</v>
      </c>
      <c r="F142">
        <v>275214.78999999998</v>
      </c>
      <c r="G142">
        <f t="shared" si="9"/>
        <v>12935095.129999999</v>
      </c>
      <c r="H142" s="1">
        <v>45336</v>
      </c>
      <c r="I142" s="1" t="str">
        <f t="shared" si="10"/>
        <v>Feb</v>
      </c>
      <c r="J142" s="1" t="str">
        <f t="shared" si="11"/>
        <v>2024</v>
      </c>
      <c r="K142" t="s">
        <v>51</v>
      </c>
      <c r="L142" t="s">
        <v>490</v>
      </c>
    </row>
    <row r="143" spans="1:12" x14ac:dyDescent="0.25">
      <c r="A143" t="s">
        <v>71</v>
      </c>
      <c r="B143" t="str">
        <f t="shared" si="8"/>
        <v>Identified</v>
      </c>
      <c r="C143" t="s">
        <v>36</v>
      </c>
      <c r="D143" t="s">
        <v>14</v>
      </c>
      <c r="E143">
        <v>77</v>
      </c>
      <c r="F143">
        <v>92649.51</v>
      </c>
      <c r="G143">
        <f t="shared" si="9"/>
        <v>7134012.2699999996</v>
      </c>
      <c r="H143" s="1">
        <v>45734</v>
      </c>
      <c r="I143" s="1" t="str">
        <f t="shared" si="10"/>
        <v>Mar</v>
      </c>
      <c r="J143" s="1" t="str">
        <f t="shared" si="11"/>
        <v>2025</v>
      </c>
      <c r="K143" t="s">
        <v>11</v>
      </c>
      <c r="L143" t="s">
        <v>72</v>
      </c>
    </row>
    <row r="144" spans="1:12" x14ac:dyDescent="0.25">
      <c r="A144" t="s">
        <v>591</v>
      </c>
      <c r="B144" t="str">
        <f t="shared" si="8"/>
        <v>Identified</v>
      </c>
      <c r="C144" t="s">
        <v>230</v>
      </c>
      <c r="D144" t="s">
        <v>59</v>
      </c>
      <c r="E144">
        <v>47</v>
      </c>
      <c r="F144">
        <v>258155.83</v>
      </c>
      <c r="G144">
        <f t="shared" si="9"/>
        <v>12133324.01</v>
      </c>
      <c r="H144" s="1">
        <v>45272</v>
      </c>
      <c r="I144" s="1" t="str">
        <f t="shared" si="10"/>
        <v>Dec</v>
      </c>
      <c r="J144" s="1" t="str">
        <f t="shared" si="11"/>
        <v>2023</v>
      </c>
      <c r="K144" t="s">
        <v>51</v>
      </c>
      <c r="L144" t="s">
        <v>592</v>
      </c>
    </row>
    <row r="145" spans="1:12" x14ac:dyDescent="0.25">
      <c r="A145" t="s">
        <v>371</v>
      </c>
      <c r="B145" t="str">
        <f t="shared" si="8"/>
        <v>Identified</v>
      </c>
      <c r="C145" t="s">
        <v>39</v>
      </c>
      <c r="D145" t="s">
        <v>76</v>
      </c>
      <c r="E145">
        <v>47</v>
      </c>
      <c r="F145">
        <v>219470.21</v>
      </c>
      <c r="G145">
        <f t="shared" si="9"/>
        <v>10315099.869999999</v>
      </c>
      <c r="H145" s="1">
        <v>45382</v>
      </c>
      <c r="I145" s="1" t="str">
        <f t="shared" si="10"/>
        <v>Mar</v>
      </c>
      <c r="J145" s="1" t="str">
        <f t="shared" si="11"/>
        <v>2024</v>
      </c>
      <c r="K145" t="s">
        <v>30</v>
      </c>
      <c r="L145" t="s">
        <v>372</v>
      </c>
    </row>
    <row r="146" spans="1:12" x14ac:dyDescent="0.25">
      <c r="A146" t="s">
        <v>292</v>
      </c>
      <c r="B146" t="str">
        <f t="shared" si="8"/>
        <v>Identified</v>
      </c>
      <c r="C146" t="s">
        <v>62</v>
      </c>
      <c r="D146" t="s">
        <v>76</v>
      </c>
      <c r="E146">
        <v>47</v>
      </c>
      <c r="F146">
        <v>142972.04</v>
      </c>
      <c r="G146">
        <f t="shared" si="9"/>
        <v>6719685.8800000008</v>
      </c>
      <c r="H146" s="1">
        <v>45965</v>
      </c>
      <c r="I146" s="1" t="str">
        <f t="shared" si="10"/>
        <v>Nov</v>
      </c>
      <c r="J146" s="1" t="str">
        <f t="shared" si="11"/>
        <v>2025</v>
      </c>
      <c r="K146" t="s">
        <v>11</v>
      </c>
      <c r="L146" t="s">
        <v>293</v>
      </c>
    </row>
    <row r="147" spans="1:12" x14ac:dyDescent="0.25">
      <c r="A147" t="s">
        <v>595</v>
      </c>
      <c r="B147" t="str">
        <f t="shared" si="8"/>
        <v>Identified</v>
      </c>
      <c r="C147" t="s">
        <v>62</v>
      </c>
      <c r="D147" t="s">
        <v>98</v>
      </c>
      <c r="E147">
        <v>47</v>
      </c>
      <c r="F147">
        <v>297857.61</v>
      </c>
      <c r="G147">
        <f t="shared" si="9"/>
        <v>13999307.67</v>
      </c>
      <c r="H147" s="1">
        <v>45543</v>
      </c>
      <c r="I147" s="1" t="str">
        <f t="shared" si="10"/>
        <v>Sep</v>
      </c>
      <c r="J147" s="1" t="str">
        <f t="shared" si="11"/>
        <v>2024</v>
      </c>
      <c r="K147" t="s">
        <v>30</v>
      </c>
      <c r="L147" t="s">
        <v>596</v>
      </c>
    </row>
    <row r="148" spans="1:12" x14ac:dyDescent="0.25">
      <c r="A148" t="s">
        <v>181</v>
      </c>
      <c r="B148" t="str">
        <f t="shared" si="8"/>
        <v>Identified</v>
      </c>
      <c r="C148" t="s">
        <v>57</v>
      </c>
      <c r="D148" t="s">
        <v>59</v>
      </c>
      <c r="E148">
        <v>47</v>
      </c>
      <c r="F148">
        <v>145511.94</v>
      </c>
      <c r="G148">
        <f t="shared" si="9"/>
        <v>6839061.1799999997</v>
      </c>
      <c r="H148" s="1">
        <v>45614</v>
      </c>
      <c r="I148" s="1" t="str">
        <f t="shared" si="10"/>
        <v>Nov</v>
      </c>
      <c r="J148" s="1" t="str">
        <f t="shared" si="11"/>
        <v>2024</v>
      </c>
      <c r="K148" t="s">
        <v>30</v>
      </c>
      <c r="L148" t="s">
        <v>182</v>
      </c>
    </row>
    <row r="149" spans="1:12" x14ac:dyDescent="0.25">
      <c r="A149" t="s">
        <v>559</v>
      </c>
      <c r="B149" t="str">
        <f t="shared" si="8"/>
        <v>Identified</v>
      </c>
      <c r="C149" t="s">
        <v>83</v>
      </c>
      <c r="D149" t="s">
        <v>14</v>
      </c>
      <c r="E149">
        <v>47</v>
      </c>
      <c r="F149">
        <v>86483.67</v>
      </c>
      <c r="G149">
        <f t="shared" si="9"/>
        <v>4064732.4899999998</v>
      </c>
      <c r="H149" s="1">
        <v>45335</v>
      </c>
      <c r="I149" s="1" t="str">
        <f t="shared" si="10"/>
        <v>Feb</v>
      </c>
      <c r="J149" s="1" t="str">
        <f t="shared" si="11"/>
        <v>2024</v>
      </c>
      <c r="K149" t="s">
        <v>15</v>
      </c>
      <c r="L149" t="s">
        <v>1087</v>
      </c>
    </row>
    <row r="150" spans="1:12" x14ac:dyDescent="0.25">
      <c r="A150" t="s">
        <v>833</v>
      </c>
      <c r="B150" t="str">
        <f t="shared" si="8"/>
        <v>Identified</v>
      </c>
      <c r="C150" t="s">
        <v>49</v>
      </c>
      <c r="D150" t="s">
        <v>50</v>
      </c>
      <c r="E150">
        <v>47</v>
      </c>
      <c r="F150">
        <v>61336.68</v>
      </c>
      <c r="G150">
        <f t="shared" si="9"/>
        <v>2882823.96</v>
      </c>
      <c r="H150" s="1">
        <v>45656</v>
      </c>
      <c r="I150" s="1" t="str">
        <f t="shared" si="10"/>
        <v>Dec</v>
      </c>
      <c r="J150" s="1" t="str">
        <f t="shared" si="11"/>
        <v>2024</v>
      </c>
      <c r="K150" t="s">
        <v>11</v>
      </c>
      <c r="L150" t="s">
        <v>834</v>
      </c>
    </row>
    <row r="151" spans="1:12" x14ac:dyDescent="0.25">
      <c r="A151" t="s">
        <v>435</v>
      </c>
      <c r="B151" t="str">
        <f t="shared" si="8"/>
        <v>Identified</v>
      </c>
      <c r="C151" t="s">
        <v>49</v>
      </c>
      <c r="D151" t="s">
        <v>98</v>
      </c>
      <c r="E151">
        <v>47</v>
      </c>
      <c r="F151">
        <v>205979.05</v>
      </c>
      <c r="G151">
        <f t="shared" si="9"/>
        <v>9681015.3499999996</v>
      </c>
      <c r="H151" s="1">
        <v>45271</v>
      </c>
      <c r="I151" s="1" t="str">
        <f t="shared" si="10"/>
        <v>Dec</v>
      </c>
      <c r="J151" s="1" t="str">
        <f t="shared" si="11"/>
        <v>2023</v>
      </c>
      <c r="K151" t="s">
        <v>15</v>
      </c>
      <c r="L151" t="s">
        <v>436</v>
      </c>
    </row>
    <row r="152" spans="1:12" x14ac:dyDescent="0.25">
      <c r="A152" t="s">
        <v>689</v>
      </c>
      <c r="B152" t="str">
        <f t="shared" si="8"/>
        <v>Identified</v>
      </c>
      <c r="C152" t="s">
        <v>93</v>
      </c>
      <c r="D152" t="s">
        <v>29</v>
      </c>
      <c r="E152">
        <v>47</v>
      </c>
      <c r="F152">
        <v>124361.28</v>
      </c>
      <c r="G152">
        <f t="shared" si="9"/>
        <v>5844980.1600000001</v>
      </c>
      <c r="H152" s="1">
        <v>45795</v>
      </c>
      <c r="I152" s="1" t="str">
        <f t="shared" si="10"/>
        <v>May</v>
      </c>
      <c r="J152" s="1" t="str">
        <f t="shared" si="11"/>
        <v>2025</v>
      </c>
      <c r="K152" t="s">
        <v>30</v>
      </c>
      <c r="L152" t="s">
        <v>1087</v>
      </c>
    </row>
    <row r="153" spans="1:12" x14ac:dyDescent="0.25">
      <c r="A153" t="s">
        <v>483</v>
      </c>
      <c r="B153" t="str">
        <f t="shared" si="8"/>
        <v>Identified</v>
      </c>
      <c r="C153" t="s">
        <v>46</v>
      </c>
      <c r="D153" t="s">
        <v>29</v>
      </c>
      <c r="E153">
        <v>47</v>
      </c>
      <c r="F153">
        <v>157889.24</v>
      </c>
      <c r="G153">
        <f t="shared" si="9"/>
        <v>7420794.2799999993</v>
      </c>
      <c r="H153" s="1">
        <v>45569</v>
      </c>
      <c r="I153" s="1" t="str">
        <f t="shared" si="10"/>
        <v>Oct</v>
      </c>
      <c r="J153" s="1" t="str">
        <f t="shared" si="11"/>
        <v>2024</v>
      </c>
      <c r="K153" t="s">
        <v>30</v>
      </c>
      <c r="L153" t="s">
        <v>484</v>
      </c>
    </row>
    <row r="154" spans="1:12" x14ac:dyDescent="0.25">
      <c r="A154" t="s">
        <v>983</v>
      </c>
      <c r="B154" t="str">
        <f t="shared" si="8"/>
        <v>Identified</v>
      </c>
      <c r="C154" t="s">
        <v>83</v>
      </c>
      <c r="D154" t="s">
        <v>14</v>
      </c>
      <c r="E154">
        <v>47</v>
      </c>
      <c r="F154">
        <v>24644.77</v>
      </c>
      <c r="G154">
        <f t="shared" si="9"/>
        <v>1158304.19</v>
      </c>
      <c r="H154" s="1">
        <v>45196</v>
      </c>
      <c r="I154" s="1" t="str">
        <f t="shared" si="10"/>
        <v>Sep</v>
      </c>
      <c r="J154" s="1" t="str">
        <f t="shared" si="11"/>
        <v>2023</v>
      </c>
      <c r="K154" t="s">
        <v>11</v>
      </c>
      <c r="L154" t="s">
        <v>984</v>
      </c>
    </row>
    <row r="155" spans="1:12" x14ac:dyDescent="0.25">
      <c r="A155" t="s">
        <v>324</v>
      </c>
      <c r="B155" t="str">
        <f t="shared" si="8"/>
        <v>Identified</v>
      </c>
      <c r="C155" t="s">
        <v>62</v>
      </c>
      <c r="D155" t="s">
        <v>19</v>
      </c>
      <c r="E155">
        <v>56</v>
      </c>
      <c r="F155">
        <v>280209.82</v>
      </c>
      <c r="G155">
        <f t="shared" si="9"/>
        <v>15691749.92</v>
      </c>
      <c r="H155" s="1">
        <v>45504</v>
      </c>
      <c r="I155" s="1" t="str">
        <f t="shared" si="10"/>
        <v>Jul</v>
      </c>
      <c r="J155" s="1" t="str">
        <f t="shared" si="11"/>
        <v>2024</v>
      </c>
      <c r="K155" t="s">
        <v>51</v>
      </c>
      <c r="L155" t="s">
        <v>325</v>
      </c>
    </row>
    <row r="156" spans="1:12" x14ac:dyDescent="0.25">
      <c r="A156" t="s">
        <v>61</v>
      </c>
      <c r="B156" t="str">
        <f t="shared" si="8"/>
        <v>Identified</v>
      </c>
      <c r="C156" t="s">
        <v>62</v>
      </c>
      <c r="D156" t="s">
        <v>59</v>
      </c>
      <c r="E156">
        <v>47</v>
      </c>
      <c r="F156">
        <v>99706.26</v>
      </c>
      <c r="G156">
        <f t="shared" si="9"/>
        <v>4686194.22</v>
      </c>
      <c r="H156" s="1">
        <v>45748</v>
      </c>
      <c r="I156" s="1" t="str">
        <f t="shared" si="10"/>
        <v>Apr</v>
      </c>
      <c r="J156" s="1" t="str">
        <f t="shared" si="11"/>
        <v>2025</v>
      </c>
      <c r="K156" t="s">
        <v>51</v>
      </c>
      <c r="L156" t="s">
        <v>64</v>
      </c>
    </row>
    <row r="157" spans="1:12" x14ac:dyDescent="0.25">
      <c r="A157" t="s">
        <v>681</v>
      </c>
      <c r="B157" t="str">
        <f t="shared" si="8"/>
        <v>Identified</v>
      </c>
      <c r="C157" t="s">
        <v>39</v>
      </c>
      <c r="D157" t="s">
        <v>19</v>
      </c>
      <c r="E157">
        <v>47</v>
      </c>
      <c r="F157">
        <v>71452.759999999995</v>
      </c>
      <c r="G157">
        <f t="shared" si="9"/>
        <v>3358279.7199999997</v>
      </c>
      <c r="H157" s="1">
        <v>45415</v>
      </c>
      <c r="I157" s="1" t="str">
        <f t="shared" si="10"/>
        <v>May</v>
      </c>
      <c r="J157" s="1" t="str">
        <f t="shared" si="11"/>
        <v>2024</v>
      </c>
      <c r="K157" t="s">
        <v>30</v>
      </c>
      <c r="L157" t="s">
        <v>682</v>
      </c>
    </row>
    <row r="158" spans="1:12" x14ac:dyDescent="0.25">
      <c r="A158" t="s">
        <v>638</v>
      </c>
      <c r="B158" t="str">
        <f t="shared" si="8"/>
        <v>Identified</v>
      </c>
      <c r="C158" t="s">
        <v>18</v>
      </c>
      <c r="D158" t="s">
        <v>25</v>
      </c>
      <c r="E158">
        <v>47</v>
      </c>
      <c r="F158">
        <v>72579.56</v>
      </c>
      <c r="G158">
        <f t="shared" si="9"/>
        <v>3411239.32</v>
      </c>
      <c r="H158" s="1">
        <v>45596</v>
      </c>
      <c r="I158" s="1" t="str">
        <f t="shared" si="10"/>
        <v>Oct</v>
      </c>
      <c r="J158" s="1" t="str">
        <f t="shared" si="11"/>
        <v>2024</v>
      </c>
      <c r="K158" t="s">
        <v>51</v>
      </c>
      <c r="L158" t="s">
        <v>639</v>
      </c>
    </row>
    <row r="159" spans="1:12" x14ac:dyDescent="0.25">
      <c r="A159" t="s">
        <v>125</v>
      </c>
      <c r="B159" t="str">
        <f t="shared" si="8"/>
        <v>Identified</v>
      </c>
      <c r="C159" t="s">
        <v>18</v>
      </c>
      <c r="D159" t="s">
        <v>29</v>
      </c>
      <c r="E159">
        <v>4</v>
      </c>
      <c r="F159">
        <v>57639.91</v>
      </c>
      <c r="G159">
        <f t="shared" si="9"/>
        <v>230559.64</v>
      </c>
      <c r="H159" s="1">
        <v>45169</v>
      </c>
      <c r="I159" s="1" t="str">
        <f t="shared" si="10"/>
        <v>Aug</v>
      </c>
      <c r="J159" s="1" t="str">
        <f t="shared" si="11"/>
        <v>2023</v>
      </c>
      <c r="K159" t="s">
        <v>51</v>
      </c>
      <c r="L159" t="s">
        <v>1087</v>
      </c>
    </row>
    <row r="160" spans="1:12" x14ac:dyDescent="0.25">
      <c r="A160" t="s">
        <v>322</v>
      </c>
      <c r="B160" t="str">
        <f t="shared" si="8"/>
        <v>Identified</v>
      </c>
      <c r="C160" t="s">
        <v>93</v>
      </c>
      <c r="D160" t="s">
        <v>98</v>
      </c>
      <c r="E160">
        <v>47</v>
      </c>
      <c r="F160">
        <v>251362.66</v>
      </c>
      <c r="G160">
        <f t="shared" si="9"/>
        <v>11814045.02</v>
      </c>
      <c r="H160" s="1">
        <v>44993</v>
      </c>
      <c r="I160" s="1" t="str">
        <f t="shared" si="10"/>
        <v>Mar</v>
      </c>
      <c r="J160" s="1" t="str">
        <f t="shared" si="11"/>
        <v>2023</v>
      </c>
      <c r="K160" t="s">
        <v>15</v>
      </c>
      <c r="L160" t="s">
        <v>323</v>
      </c>
    </row>
    <row r="161" spans="1:12" x14ac:dyDescent="0.25">
      <c r="A161" t="s">
        <v>1090</v>
      </c>
      <c r="B161" t="str">
        <f t="shared" si="8"/>
        <v>Identified</v>
      </c>
      <c r="C161" t="s">
        <v>93</v>
      </c>
      <c r="D161" t="s">
        <v>50</v>
      </c>
      <c r="E161">
        <v>47</v>
      </c>
      <c r="F161">
        <v>215216.93</v>
      </c>
      <c r="G161">
        <f t="shared" si="9"/>
        <v>10115195.709999999</v>
      </c>
      <c r="H161" s="1">
        <v>44967</v>
      </c>
      <c r="I161" s="1" t="str">
        <f t="shared" si="10"/>
        <v>Feb</v>
      </c>
      <c r="J161" s="1" t="str">
        <f t="shared" si="11"/>
        <v>2023</v>
      </c>
      <c r="K161" t="s">
        <v>30</v>
      </c>
      <c r="L161" t="s">
        <v>512</v>
      </c>
    </row>
    <row r="162" spans="1:12" x14ac:dyDescent="0.25">
      <c r="A162" t="s">
        <v>471</v>
      </c>
      <c r="B162" t="str">
        <f t="shared" si="8"/>
        <v>Identified</v>
      </c>
      <c r="C162" t="s">
        <v>46</v>
      </c>
      <c r="D162" t="s">
        <v>19</v>
      </c>
      <c r="E162">
        <v>47</v>
      </c>
      <c r="F162">
        <v>240697.5</v>
      </c>
      <c r="G162">
        <f t="shared" si="9"/>
        <v>11312782.5</v>
      </c>
      <c r="H162" s="1">
        <v>45187</v>
      </c>
      <c r="I162" s="1" t="str">
        <f t="shared" si="10"/>
        <v>Sep</v>
      </c>
      <c r="J162" s="1" t="str">
        <f t="shared" si="11"/>
        <v>2023</v>
      </c>
      <c r="K162" t="s">
        <v>51</v>
      </c>
      <c r="L162" t="s">
        <v>472</v>
      </c>
    </row>
    <row r="163" spans="1:12" x14ac:dyDescent="0.25">
      <c r="A163" t="s">
        <v>814</v>
      </c>
      <c r="B163" t="str">
        <f t="shared" si="8"/>
        <v>Identified</v>
      </c>
      <c r="C163" t="s">
        <v>46</v>
      </c>
      <c r="D163" t="s">
        <v>50</v>
      </c>
      <c r="E163">
        <v>98</v>
      </c>
      <c r="F163">
        <v>194792.04</v>
      </c>
      <c r="G163">
        <f t="shared" si="9"/>
        <v>19089619.920000002</v>
      </c>
      <c r="H163" s="1">
        <v>45295</v>
      </c>
      <c r="I163" s="1" t="str">
        <f t="shared" si="10"/>
        <v>Jan</v>
      </c>
      <c r="J163" s="1" t="str">
        <f t="shared" si="11"/>
        <v>2024</v>
      </c>
      <c r="K163" t="s">
        <v>11</v>
      </c>
      <c r="L163" t="s">
        <v>815</v>
      </c>
    </row>
    <row r="164" spans="1:12" x14ac:dyDescent="0.25">
      <c r="A164" t="s">
        <v>924</v>
      </c>
      <c r="B164" t="str">
        <f t="shared" si="8"/>
        <v>Identified</v>
      </c>
      <c r="C164" t="s">
        <v>39</v>
      </c>
      <c r="D164" t="s">
        <v>59</v>
      </c>
      <c r="E164">
        <v>47</v>
      </c>
      <c r="F164">
        <v>280204.15999999997</v>
      </c>
      <c r="G164">
        <f t="shared" si="9"/>
        <v>13169595.52</v>
      </c>
      <c r="H164" s="1">
        <v>45317</v>
      </c>
      <c r="I164" s="1" t="str">
        <f t="shared" si="10"/>
        <v>Jan</v>
      </c>
      <c r="J164" s="1" t="str">
        <f t="shared" si="11"/>
        <v>2024</v>
      </c>
      <c r="K164" t="s">
        <v>11</v>
      </c>
      <c r="L164" t="s">
        <v>925</v>
      </c>
    </row>
    <row r="165" spans="1:12" x14ac:dyDescent="0.25">
      <c r="A165" t="s">
        <v>150</v>
      </c>
      <c r="B165" t="str">
        <f t="shared" si="8"/>
        <v>Identified</v>
      </c>
      <c r="C165" t="s">
        <v>57</v>
      </c>
      <c r="D165" t="s">
        <v>14</v>
      </c>
      <c r="E165">
        <v>47</v>
      </c>
      <c r="F165">
        <v>155845.62</v>
      </c>
      <c r="G165">
        <f t="shared" si="9"/>
        <v>7324744.1399999997</v>
      </c>
      <c r="H165" s="1">
        <v>45086</v>
      </c>
      <c r="I165" s="1" t="str">
        <f t="shared" si="10"/>
        <v>Jun</v>
      </c>
      <c r="J165" s="1" t="str">
        <f t="shared" si="11"/>
        <v>2023</v>
      </c>
      <c r="K165" t="s">
        <v>11</v>
      </c>
      <c r="L165" t="s">
        <v>152</v>
      </c>
    </row>
    <row r="166" spans="1:12" x14ac:dyDescent="0.25">
      <c r="A166" t="s">
        <v>993</v>
      </c>
      <c r="B166" t="str">
        <f t="shared" si="8"/>
        <v>Identified</v>
      </c>
      <c r="C166" t="s">
        <v>93</v>
      </c>
      <c r="D166" t="s">
        <v>50</v>
      </c>
      <c r="E166">
        <v>47</v>
      </c>
      <c r="F166">
        <v>155709.06</v>
      </c>
      <c r="G166">
        <f t="shared" si="9"/>
        <v>7318325.8200000003</v>
      </c>
      <c r="H166" s="1">
        <v>45574</v>
      </c>
      <c r="I166" s="1" t="str">
        <f t="shared" si="10"/>
        <v>Oct</v>
      </c>
      <c r="J166" s="1" t="str">
        <f t="shared" si="11"/>
        <v>2024</v>
      </c>
      <c r="K166" t="s">
        <v>51</v>
      </c>
      <c r="L166" t="s">
        <v>994</v>
      </c>
    </row>
    <row r="167" spans="1:12" x14ac:dyDescent="0.25">
      <c r="A167" t="s">
        <v>898</v>
      </c>
      <c r="B167" t="str">
        <f t="shared" si="8"/>
        <v>Identified</v>
      </c>
      <c r="C167" t="s">
        <v>62</v>
      </c>
      <c r="D167" t="s">
        <v>50</v>
      </c>
      <c r="E167">
        <v>47</v>
      </c>
      <c r="F167">
        <v>22761.96</v>
      </c>
      <c r="G167">
        <f t="shared" si="9"/>
        <v>1069812.1199999999</v>
      </c>
      <c r="H167" s="1">
        <v>45812</v>
      </c>
      <c r="I167" s="1" t="str">
        <f t="shared" si="10"/>
        <v>Jun</v>
      </c>
      <c r="J167" s="1" t="str">
        <f t="shared" si="11"/>
        <v>2025</v>
      </c>
      <c r="K167" t="s">
        <v>15</v>
      </c>
      <c r="L167" t="s">
        <v>899</v>
      </c>
    </row>
    <row r="168" spans="1:12" x14ac:dyDescent="0.25">
      <c r="A168" t="s">
        <v>313</v>
      </c>
      <c r="B168" t="str">
        <f t="shared" si="8"/>
        <v>Identified</v>
      </c>
      <c r="C168" t="s">
        <v>93</v>
      </c>
      <c r="D168" t="s">
        <v>19</v>
      </c>
      <c r="E168">
        <v>47</v>
      </c>
      <c r="F168">
        <v>255174.76</v>
      </c>
      <c r="G168">
        <f t="shared" si="9"/>
        <v>11993213.720000001</v>
      </c>
      <c r="H168" s="1">
        <v>45713</v>
      </c>
      <c r="I168" s="1" t="str">
        <f t="shared" si="10"/>
        <v>Feb</v>
      </c>
      <c r="J168" s="1" t="str">
        <f t="shared" si="11"/>
        <v>2025</v>
      </c>
      <c r="K168" t="s">
        <v>15</v>
      </c>
      <c r="L168" t="s">
        <v>314</v>
      </c>
    </row>
    <row r="169" spans="1:12" x14ac:dyDescent="0.25">
      <c r="A169" t="s">
        <v>476</v>
      </c>
      <c r="B169" t="str">
        <f t="shared" si="8"/>
        <v>Identified</v>
      </c>
      <c r="C169" t="s">
        <v>33</v>
      </c>
      <c r="D169" t="s">
        <v>14</v>
      </c>
      <c r="E169">
        <v>47</v>
      </c>
      <c r="F169">
        <v>228676.96</v>
      </c>
      <c r="G169">
        <f t="shared" si="9"/>
        <v>10747817.119999999</v>
      </c>
      <c r="H169" s="1">
        <v>45473</v>
      </c>
      <c r="I169" s="1" t="str">
        <f t="shared" si="10"/>
        <v>Jun</v>
      </c>
      <c r="J169" s="1" t="str">
        <f t="shared" si="11"/>
        <v>2024</v>
      </c>
      <c r="K169" t="s">
        <v>51</v>
      </c>
      <c r="L169" t="s">
        <v>477</v>
      </c>
    </row>
    <row r="170" spans="1:12" x14ac:dyDescent="0.25">
      <c r="A170" t="s">
        <v>82</v>
      </c>
      <c r="B170" t="str">
        <f t="shared" si="8"/>
        <v>Identified</v>
      </c>
      <c r="C170" t="s">
        <v>83</v>
      </c>
      <c r="D170" t="s">
        <v>50</v>
      </c>
      <c r="E170">
        <v>4</v>
      </c>
      <c r="F170">
        <v>179274.43</v>
      </c>
      <c r="G170">
        <f t="shared" si="9"/>
        <v>717097.72</v>
      </c>
      <c r="H170" s="1">
        <v>45274</v>
      </c>
      <c r="I170" s="1" t="str">
        <f t="shared" si="10"/>
        <v>Dec</v>
      </c>
      <c r="J170" s="1" t="str">
        <f t="shared" si="11"/>
        <v>2023</v>
      </c>
      <c r="K170" t="s">
        <v>11</v>
      </c>
      <c r="L170" t="s">
        <v>85</v>
      </c>
    </row>
    <row r="171" spans="1:12" x14ac:dyDescent="0.25">
      <c r="A171" t="s">
        <v>278</v>
      </c>
      <c r="B171" t="str">
        <f t="shared" si="8"/>
        <v>Identified</v>
      </c>
      <c r="C171" t="s">
        <v>46</v>
      </c>
      <c r="D171" t="s">
        <v>76</v>
      </c>
      <c r="E171">
        <v>7</v>
      </c>
      <c r="F171">
        <v>41671.379999999997</v>
      </c>
      <c r="G171">
        <f t="shared" si="9"/>
        <v>291699.65999999997</v>
      </c>
      <c r="H171" s="1">
        <v>45936</v>
      </c>
      <c r="I171" s="1" t="str">
        <f t="shared" si="10"/>
        <v>Oct</v>
      </c>
      <c r="J171" s="1" t="str">
        <f t="shared" si="11"/>
        <v>2025</v>
      </c>
      <c r="K171" t="s">
        <v>30</v>
      </c>
      <c r="L171" t="s">
        <v>279</v>
      </c>
    </row>
    <row r="172" spans="1:12" x14ac:dyDescent="0.25">
      <c r="A172" t="s">
        <v>1035</v>
      </c>
      <c r="B172" t="str">
        <f t="shared" si="8"/>
        <v>Identified</v>
      </c>
      <c r="C172" t="s">
        <v>230</v>
      </c>
      <c r="D172" t="s">
        <v>50</v>
      </c>
      <c r="E172">
        <v>47</v>
      </c>
      <c r="F172">
        <v>163137.69</v>
      </c>
      <c r="G172">
        <f t="shared" si="9"/>
        <v>7667471.4299999997</v>
      </c>
      <c r="H172" s="1">
        <v>45474</v>
      </c>
      <c r="I172" s="1" t="str">
        <f t="shared" si="10"/>
        <v>Jul</v>
      </c>
      <c r="J172" s="1" t="str">
        <f t="shared" si="11"/>
        <v>2024</v>
      </c>
      <c r="K172" t="s">
        <v>30</v>
      </c>
      <c r="L172" t="s">
        <v>1036</v>
      </c>
    </row>
    <row r="173" spans="1:12" x14ac:dyDescent="0.25">
      <c r="A173" t="s">
        <v>1017</v>
      </c>
      <c r="B173" t="str">
        <f t="shared" si="8"/>
        <v>Identified</v>
      </c>
      <c r="C173" t="s">
        <v>49</v>
      </c>
      <c r="D173" t="s">
        <v>59</v>
      </c>
      <c r="E173">
        <v>3</v>
      </c>
      <c r="F173">
        <v>275786.09000000003</v>
      </c>
      <c r="G173">
        <f t="shared" si="9"/>
        <v>827358.27</v>
      </c>
      <c r="H173" s="1">
        <v>45341</v>
      </c>
      <c r="I173" s="1" t="str">
        <f t="shared" si="10"/>
        <v>Feb</v>
      </c>
      <c r="J173" s="1" t="str">
        <f t="shared" si="11"/>
        <v>2024</v>
      </c>
      <c r="K173" t="s">
        <v>30</v>
      </c>
      <c r="L173" t="s">
        <v>1018</v>
      </c>
    </row>
    <row r="174" spans="1:12" x14ac:dyDescent="0.25">
      <c r="A174" t="s">
        <v>919</v>
      </c>
      <c r="B174" t="str">
        <f t="shared" si="8"/>
        <v>Identified</v>
      </c>
      <c r="C174" t="s">
        <v>57</v>
      </c>
      <c r="D174" t="s">
        <v>50</v>
      </c>
      <c r="E174">
        <v>47</v>
      </c>
      <c r="F174">
        <v>155709.06</v>
      </c>
      <c r="G174">
        <f t="shared" si="9"/>
        <v>7318325.8200000003</v>
      </c>
      <c r="H174" s="1">
        <v>45835</v>
      </c>
      <c r="I174" s="1" t="str">
        <f t="shared" si="10"/>
        <v>Jun</v>
      </c>
      <c r="J174" s="1" t="str">
        <f t="shared" si="11"/>
        <v>2025</v>
      </c>
      <c r="K174" t="s">
        <v>30</v>
      </c>
      <c r="L174" t="s">
        <v>920</v>
      </c>
    </row>
    <row r="175" spans="1:12" x14ac:dyDescent="0.25">
      <c r="A175" t="s">
        <v>562</v>
      </c>
      <c r="B175" t="str">
        <f t="shared" si="8"/>
        <v>Identified</v>
      </c>
      <c r="C175" t="s">
        <v>46</v>
      </c>
      <c r="D175" t="s">
        <v>98</v>
      </c>
      <c r="E175">
        <v>47</v>
      </c>
      <c r="F175">
        <v>41060.949999999997</v>
      </c>
      <c r="G175">
        <f t="shared" si="9"/>
        <v>1929864.65</v>
      </c>
      <c r="H175" s="1">
        <v>45454</v>
      </c>
      <c r="I175" s="1" t="str">
        <f t="shared" si="10"/>
        <v>Jun</v>
      </c>
      <c r="J175" s="1" t="str">
        <f t="shared" si="11"/>
        <v>2024</v>
      </c>
      <c r="K175" t="s">
        <v>30</v>
      </c>
      <c r="L175" t="s">
        <v>563</v>
      </c>
    </row>
    <row r="176" spans="1:12" x14ac:dyDescent="0.25">
      <c r="A176" t="s">
        <v>130</v>
      </c>
      <c r="B176" t="str">
        <f t="shared" si="8"/>
        <v>Identified</v>
      </c>
      <c r="C176" t="s">
        <v>36</v>
      </c>
      <c r="D176" t="s">
        <v>25</v>
      </c>
      <c r="E176">
        <v>47</v>
      </c>
      <c r="F176">
        <v>124181.55</v>
      </c>
      <c r="G176">
        <f t="shared" si="9"/>
        <v>5836532.8500000006</v>
      </c>
      <c r="H176" s="1">
        <v>45674</v>
      </c>
      <c r="I176" s="1" t="str">
        <f t="shared" si="10"/>
        <v>Jan</v>
      </c>
      <c r="J176" s="1" t="str">
        <f t="shared" si="11"/>
        <v>2025</v>
      </c>
      <c r="K176" t="s">
        <v>30</v>
      </c>
      <c r="L176" t="s">
        <v>132</v>
      </c>
    </row>
    <row r="177" spans="1:12" x14ac:dyDescent="0.25">
      <c r="A177" t="s">
        <v>42</v>
      </c>
      <c r="B177" t="str">
        <f t="shared" si="8"/>
        <v>Identified</v>
      </c>
      <c r="C177" t="s">
        <v>87</v>
      </c>
      <c r="D177" t="s">
        <v>25</v>
      </c>
      <c r="E177">
        <v>47</v>
      </c>
      <c r="F177">
        <v>152440.84</v>
      </c>
      <c r="G177">
        <f t="shared" si="9"/>
        <v>7164719.4799999995</v>
      </c>
      <c r="H177" s="1">
        <v>45694</v>
      </c>
      <c r="I177" s="1" t="str">
        <f t="shared" si="10"/>
        <v>Feb</v>
      </c>
      <c r="J177" s="1" t="str">
        <f t="shared" si="11"/>
        <v>2025</v>
      </c>
      <c r="K177" t="s">
        <v>30</v>
      </c>
      <c r="L177" t="s">
        <v>44</v>
      </c>
    </row>
    <row r="178" spans="1:12" x14ac:dyDescent="0.25">
      <c r="A178" t="s">
        <v>290</v>
      </c>
      <c r="B178" t="str">
        <f t="shared" si="8"/>
        <v>Identified</v>
      </c>
      <c r="C178" t="s">
        <v>83</v>
      </c>
      <c r="D178" t="s">
        <v>14</v>
      </c>
      <c r="E178">
        <v>47</v>
      </c>
      <c r="F178">
        <v>264253.90999999997</v>
      </c>
      <c r="G178">
        <f t="shared" si="9"/>
        <v>12419933.77</v>
      </c>
      <c r="H178" s="1">
        <v>45238</v>
      </c>
      <c r="I178" s="1" t="str">
        <f t="shared" si="10"/>
        <v>Nov</v>
      </c>
      <c r="J178" s="1" t="str">
        <f t="shared" si="11"/>
        <v>2023</v>
      </c>
      <c r="K178" t="s">
        <v>15</v>
      </c>
      <c r="L178" t="s">
        <v>291</v>
      </c>
    </row>
    <row r="179" spans="1:12" x14ac:dyDescent="0.25">
      <c r="A179" t="s">
        <v>864</v>
      </c>
      <c r="B179" t="str">
        <f t="shared" si="8"/>
        <v>Identified</v>
      </c>
      <c r="C179" t="s">
        <v>62</v>
      </c>
      <c r="D179" t="s">
        <v>76</v>
      </c>
      <c r="E179">
        <v>47</v>
      </c>
      <c r="F179">
        <v>283067.63</v>
      </c>
      <c r="G179">
        <f t="shared" si="9"/>
        <v>13304178.609999999</v>
      </c>
      <c r="H179" s="1">
        <v>45497</v>
      </c>
      <c r="I179" s="1" t="str">
        <f t="shared" si="10"/>
        <v>Jul</v>
      </c>
      <c r="J179" s="1" t="str">
        <f t="shared" si="11"/>
        <v>2024</v>
      </c>
      <c r="K179" t="s">
        <v>30</v>
      </c>
      <c r="L179" t="s">
        <v>865</v>
      </c>
    </row>
    <row r="180" spans="1:12" x14ac:dyDescent="0.25">
      <c r="A180" t="s">
        <v>911</v>
      </c>
      <c r="B180" t="str">
        <f t="shared" si="8"/>
        <v>Identified</v>
      </c>
      <c r="C180" t="s">
        <v>46</v>
      </c>
      <c r="D180" t="s">
        <v>25</v>
      </c>
      <c r="E180">
        <v>67</v>
      </c>
      <c r="F180">
        <v>20856.400000000001</v>
      </c>
      <c r="G180">
        <f t="shared" si="9"/>
        <v>1397378.8</v>
      </c>
      <c r="H180" s="1">
        <v>45341</v>
      </c>
      <c r="I180" s="1" t="str">
        <f t="shared" si="10"/>
        <v>Feb</v>
      </c>
      <c r="J180" s="1" t="str">
        <f t="shared" si="11"/>
        <v>2024</v>
      </c>
      <c r="K180" t="s">
        <v>11</v>
      </c>
      <c r="L180" t="s">
        <v>912</v>
      </c>
    </row>
    <row r="181" spans="1:12" x14ac:dyDescent="0.25">
      <c r="A181" t="s">
        <v>177</v>
      </c>
      <c r="B181" t="str">
        <f t="shared" si="8"/>
        <v>Identified</v>
      </c>
      <c r="C181" t="s">
        <v>119</v>
      </c>
      <c r="D181" t="s">
        <v>29</v>
      </c>
      <c r="E181">
        <v>47</v>
      </c>
      <c r="F181">
        <v>241193.93</v>
      </c>
      <c r="G181">
        <f t="shared" si="9"/>
        <v>11336114.709999999</v>
      </c>
      <c r="H181" s="1">
        <v>45872</v>
      </c>
      <c r="I181" s="1" t="str">
        <f t="shared" si="10"/>
        <v>Aug</v>
      </c>
      <c r="J181" s="1" t="str">
        <f t="shared" si="11"/>
        <v>2025</v>
      </c>
      <c r="K181" t="s">
        <v>30</v>
      </c>
      <c r="L181" t="s">
        <v>178</v>
      </c>
    </row>
    <row r="182" spans="1:12" x14ac:dyDescent="0.25">
      <c r="A182" t="s">
        <v>38</v>
      </c>
      <c r="B182" t="str">
        <f t="shared" si="8"/>
        <v>Identified</v>
      </c>
      <c r="C182" t="s">
        <v>39</v>
      </c>
      <c r="D182" t="s">
        <v>29</v>
      </c>
      <c r="E182">
        <v>47</v>
      </c>
      <c r="F182">
        <v>178320.53</v>
      </c>
      <c r="G182">
        <f t="shared" si="9"/>
        <v>8381064.9100000001</v>
      </c>
      <c r="H182" s="1">
        <v>45343</v>
      </c>
      <c r="I182" s="1" t="str">
        <f t="shared" si="10"/>
        <v>Feb</v>
      </c>
      <c r="J182" s="1" t="str">
        <f t="shared" si="11"/>
        <v>2024</v>
      </c>
      <c r="K182" t="s">
        <v>15</v>
      </c>
      <c r="L182" t="s">
        <v>41</v>
      </c>
    </row>
    <row r="183" spans="1:12" x14ac:dyDescent="0.25">
      <c r="A183" t="s">
        <v>821</v>
      </c>
      <c r="B183" t="str">
        <f t="shared" si="8"/>
        <v>Identified</v>
      </c>
      <c r="C183" t="s">
        <v>46</v>
      </c>
      <c r="D183" t="s">
        <v>19</v>
      </c>
      <c r="E183">
        <v>47</v>
      </c>
      <c r="F183">
        <v>140068.22</v>
      </c>
      <c r="G183">
        <f t="shared" si="9"/>
        <v>6583206.3399999999</v>
      </c>
      <c r="H183" s="1">
        <v>45660</v>
      </c>
      <c r="I183" s="1" t="str">
        <f t="shared" si="10"/>
        <v>Jan</v>
      </c>
      <c r="J183" s="1" t="str">
        <f t="shared" si="11"/>
        <v>2025</v>
      </c>
      <c r="K183" t="s">
        <v>15</v>
      </c>
      <c r="L183" t="s">
        <v>822</v>
      </c>
    </row>
    <row r="184" spans="1:12" x14ac:dyDescent="0.25">
      <c r="A184" t="s">
        <v>921</v>
      </c>
      <c r="B184" t="str">
        <f t="shared" si="8"/>
        <v>Identified</v>
      </c>
      <c r="C184" t="s">
        <v>119</v>
      </c>
      <c r="D184" t="s">
        <v>29</v>
      </c>
      <c r="E184">
        <v>37</v>
      </c>
      <c r="F184">
        <v>18604.810000000001</v>
      </c>
      <c r="G184">
        <f t="shared" si="9"/>
        <v>688377.97000000009</v>
      </c>
      <c r="H184" s="1">
        <v>45461</v>
      </c>
      <c r="I184" s="1" t="str">
        <f t="shared" si="10"/>
        <v>Jun</v>
      </c>
      <c r="J184" s="1" t="str">
        <f t="shared" si="11"/>
        <v>2024</v>
      </c>
      <c r="K184" t="s">
        <v>11</v>
      </c>
      <c r="L184" t="s">
        <v>922</v>
      </c>
    </row>
    <row r="185" spans="1:12" x14ac:dyDescent="0.25">
      <c r="A185" t="s">
        <v>902</v>
      </c>
      <c r="B185" t="str">
        <f t="shared" si="8"/>
        <v>Identified</v>
      </c>
      <c r="C185" t="s">
        <v>115</v>
      </c>
      <c r="D185" t="s">
        <v>59</v>
      </c>
      <c r="E185">
        <v>47</v>
      </c>
      <c r="F185">
        <v>245489.78</v>
      </c>
      <c r="G185">
        <f t="shared" si="9"/>
        <v>11538019.66</v>
      </c>
      <c r="H185" s="1">
        <v>45691</v>
      </c>
      <c r="I185" s="1" t="str">
        <f t="shared" si="10"/>
        <v>Feb</v>
      </c>
      <c r="J185" s="1" t="str">
        <f t="shared" si="11"/>
        <v>2025</v>
      </c>
      <c r="K185" t="s">
        <v>15</v>
      </c>
      <c r="L185" t="s">
        <v>903</v>
      </c>
    </row>
    <row r="186" spans="1:12" x14ac:dyDescent="0.25">
      <c r="A186" t="s">
        <v>869</v>
      </c>
      <c r="B186" t="str">
        <f t="shared" si="8"/>
        <v>Identified</v>
      </c>
      <c r="C186" t="s">
        <v>36</v>
      </c>
      <c r="D186" t="s">
        <v>14</v>
      </c>
      <c r="E186">
        <v>26</v>
      </c>
      <c r="F186">
        <v>229126.51</v>
      </c>
      <c r="G186">
        <f t="shared" si="9"/>
        <v>5957289.2599999998</v>
      </c>
      <c r="H186" s="1">
        <v>45490</v>
      </c>
      <c r="I186" s="1" t="str">
        <f t="shared" si="10"/>
        <v>Jul</v>
      </c>
      <c r="J186" s="1" t="str">
        <f t="shared" si="11"/>
        <v>2024</v>
      </c>
      <c r="K186" t="s">
        <v>15</v>
      </c>
      <c r="L186" t="s">
        <v>870</v>
      </c>
    </row>
    <row r="187" spans="1:12" x14ac:dyDescent="0.25">
      <c r="A187" t="s">
        <v>1053</v>
      </c>
      <c r="B187" t="str">
        <f t="shared" si="8"/>
        <v>Identified</v>
      </c>
      <c r="C187" t="s">
        <v>62</v>
      </c>
      <c r="D187" t="s">
        <v>19</v>
      </c>
      <c r="E187">
        <v>47</v>
      </c>
      <c r="F187">
        <v>246360.27</v>
      </c>
      <c r="G187">
        <f t="shared" si="9"/>
        <v>11578932.689999999</v>
      </c>
      <c r="H187" s="1">
        <v>45253</v>
      </c>
      <c r="I187" s="1" t="str">
        <f t="shared" si="10"/>
        <v>Nov</v>
      </c>
      <c r="J187" s="1" t="str">
        <f t="shared" si="11"/>
        <v>2023</v>
      </c>
      <c r="K187" t="s">
        <v>30</v>
      </c>
      <c r="L187" t="s">
        <v>1087</v>
      </c>
    </row>
    <row r="188" spans="1:12" x14ac:dyDescent="0.25">
      <c r="A188" t="s">
        <v>671</v>
      </c>
      <c r="B188" t="str">
        <f t="shared" si="8"/>
        <v>Identified</v>
      </c>
      <c r="C188" t="s">
        <v>57</v>
      </c>
      <c r="D188" t="s">
        <v>98</v>
      </c>
      <c r="E188">
        <v>54</v>
      </c>
      <c r="F188">
        <v>173045.05</v>
      </c>
      <c r="G188">
        <f t="shared" si="9"/>
        <v>9344432.6999999993</v>
      </c>
      <c r="H188" s="1">
        <v>45375</v>
      </c>
      <c r="I188" s="1" t="str">
        <f t="shared" si="10"/>
        <v>Mar</v>
      </c>
      <c r="J188" s="1" t="str">
        <f t="shared" si="11"/>
        <v>2024</v>
      </c>
      <c r="K188" t="s">
        <v>15</v>
      </c>
      <c r="L188" t="s">
        <v>672</v>
      </c>
    </row>
    <row r="189" spans="1:12" x14ac:dyDescent="0.25">
      <c r="A189" t="s">
        <v>1051</v>
      </c>
      <c r="B189" t="str">
        <f t="shared" si="8"/>
        <v>Identified</v>
      </c>
      <c r="C189" t="s">
        <v>93</v>
      </c>
      <c r="D189" t="s">
        <v>25</v>
      </c>
      <c r="E189">
        <v>47</v>
      </c>
      <c r="F189">
        <v>246296.88</v>
      </c>
      <c r="G189">
        <f t="shared" si="9"/>
        <v>11575953.359999999</v>
      </c>
      <c r="H189" s="1">
        <v>45833</v>
      </c>
      <c r="I189" s="1" t="str">
        <f t="shared" si="10"/>
        <v>Jun</v>
      </c>
      <c r="J189" s="1" t="str">
        <f t="shared" si="11"/>
        <v>2025</v>
      </c>
      <c r="K189" t="s">
        <v>51</v>
      </c>
      <c r="L189" t="s">
        <v>1052</v>
      </c>
    </row>
    <row r="190" spans="1:12" x14ac:dyDescent="0.25">
      <c r="A190" t="s">
        <v>310</v>
      </c>
      <c r="B190" t="str">
        <f t="shared" si="8"/>
        <v>Identified</v>
      </c>
      <c r="C190" t="s">
        <v>46</v>
      </c>
      <c r="D190" t="s">
        <v>25</v>
      </c>
      <c r="E190">
        <v>8</v>
      </c>
      <c r="F190">
        <v>221736.61</v>
      </c>
      <c r="G190">
        <f t="shared" si="9"/>
        <v>1773892.88</v>
      </c>
      <c r="H190" s="1">
        <v>45281</v>
      </c>
      <c r="I190" s="1" t="str">
        <f t="shared" si="10"/>
        <v>Dec</v>
      </c>
      <c r="J190" s="1" t="str">
        <f t="shared" si="11"/>
        <v>2023</v>
      </c>
      <c r="K190" t="s">
        <v>30</v>
      </c>
      <c r="L190" t="s">
        <v>312</v>
      </c>
    </row>
    <row r="191" spans="1:12" x14ac:dyDescent="0.25">
      <c r="A191" t="s">
        <v>803</v>
      </c>
      <c r="B191" t="str">
        <f t="shared" si="8"/>
        <v>Identified</v>
      </c>
      <c r="C191" t="s">
        <v>46</v>
      </c>
      <c r="D191" t="s">
        <v>14</v>
      </c>
      <c r="E191">
        <v>47</v>
      </c>
      <c r="F191">
        <v>119291.3</v>
      </c>
      <c r="G191">
        <f t="shared" si="9"/>
        <v>5606691.1000000006</v>
      </c>
      <c r="H191" s="1">
        <v>45410</v>
      </c>
      <c r="I191" s="1" t="str">
        <f t="shared" si="10"/>
        <v>Apr</v>
      </c>
      <c r="J191" s="1" t="str">
        <f t="shared" si="11"/>
        <v>2024</v>
      </c>
      <c r="K191" t="s">
        <v>30</v>
      </c>
      <c r="L191" t="s">
        <v>804</v>
      </c>
    </row>
    <row r="192" spans="1:12" x14ac:dyDescent="0.25">
      <c r="A192" t="s">
        <v>956</v>
      </c>
      <c r="B192" t="str">
        <f t="shared" si="8"/>
        <v>Identified</v>
      </c>
      <c r="C192" t="s">
        <v>93</v>
      </c>
      <c r="D192" t="s">
        <v>98</v>
      </c>
      <c r="E192">
        <v>82</v>
      </c>
      <c r="F192">
        <v>155709.06</v>
      </c>
      <c r="G192">
        <f t="shared" si="9"/>
        <v>12768142.92</v>
      </c>
      <c r="H192" s="1">
        <v>45627</v>
      </c>
      <c r="I192" s="1" t="str">
        <f t="shared" si="10"/>
        <v>Dec</v>
      </c>
      <c r="J192" s="1" t="str">
        <f t="shared" si="11"/>
        <v>2024</v>
      </c>
      <c r="K192" t="s">
        <v>51</v>
      </c>
      <c r="L192" t="s">
        <v>957</v>
      </c>
    </row>
    <row r="193" spans="1:12" x14ac:dyDescent="0.25">
      <c r="A193" t="s">
        <v>68</v>
      </c>
      <c r="B193" t="str">
        <f t="shared" si="8"/>
        <v>Identified</v>
      </c>
      <c r="C193" t="s">
        <v>13</v>
      </c>
      <c r="D193" t="s">
        <v>14</v>
      </c>
      <c r="E193">
        <v>43</v>
      </c>
      <c r="F193">
        <v>125253.81</v>
      </c>
      <c r="G193">
        <f t="shared" si="9"/>
        <v>5385913.8300000001</v>
      </c>
      <c r="H193" s="1">
        <v>45253</v>
      </c>
      <c r="I193" s="1" t="str">
        <f t="shared" si="10"/>
        <v>Nov</v>
      </c>
      <c r="J193" s="1" t="str">
        <f t="shared" si="11"/>
        <v>2023</v>
      </c>
      <c r="K193" t="s">
        <v>30</v>
      </c>
      <c r="L193" t="s">
        <v>70</v>
      </c>
    </row>
    <row r="194" spans="1:12" x14ac:dyDescent="0.25">
      <c r="A194" t="s">
        <v>1033</v>
      </c>
      <c r="B194" t="str">
        <f t="shared" ref="B194:B257" si="12">IF(A194="Unknown","Unidentified","Identified")</f>
        <v>Identified</v>
      </c>
      <c r="C194" t="s">
        <v>115</v>
      </c>
      <c r="D194" t="s">
        <v>29</v>
      </c>
      <c r="E194">
        <v>69</v>
      </c>
      <c r="F194">
        <v>84471.72</v>
      </c>
      <c r="G194">
        <f t="shared" ref="G194:G257" si="13">F194*E194</f>
        <v>5828548.6799999997</v>
      </c>
      <c r="H194" s="1">
        <v>45563</v>
      </c>
      <c r="I194" s="1" t="str">
        <f t="shared" ref="I194:I257" si="14">TEXT(H194,"MMM")</f>
        <v>Sep</v>
      </c>
      <c r="J194" s="1" t="str">
        <f t="shared" ref="J194:J257" si="15">TEXT(H194,"YYYY")</f>
        <v>2024</v>
      </c>
      <c r="K194" t="s">
        <v>30</v>
      </c>
      <c r="L194" t="s">
        <v>1034</v>
      </c>
    </row>
    <row r="195" spans="1:12" x14ac:dyDescent="0.25">
      <c r="A195" t="s">
        <v>568</v>
      </c>
      <c r="B195" t="str">
        <f t="shared" si="12"/>
        <v>Identified</v>
      </c>
      <c r="C195" t="s">
        <v>28</v>
      </c>
      <c r="D195" t="s">
        <v>25</v>
      </c>
      <c r="E195">
        <v>69</v>
      </c>
      <c r="F195">
        <v>218922.21</v>
      </c>
      <c r="G195">
        <f t="shared" si="13"/>
        <v>15105632.49</v>
      </c>
      <c r="H195" s="1">
        <v>45240</v>
      </c>
      <c r="I195" s="1" t="str">
        <f t="shared" si="14"/>
        <v>Nov</v>
      </c>
      <c r="J195" s="1" t="str">
        <f t="shared" si="15"/>
        <v>2023</v>
      </c>
      <c r="K195" t="s">
        <v>15</v>
      </c>
      <c r="L195" t="s">
        <v>569</v>
      </c>
    </row>
    <row r="196" spans="1:12" x14ac:dyDescent="0.25">
      <c r="A196" t="s">
        <v>932</v>
      </c>
      <c r="B196" t="str">
        <f t="shared" si="12"/>
        <v>Identified</v>
      </c>
      <c r="C196" t="s">
        <v>33</v>
      </c>
      <c r="D196" t="s">
        <v>76</v>
      </c>
      <c r="E196">
        <v>47</v>
      </c>
      <c r="F196">
        <v>159897.64000000001</v>
      </c>
      <c r="G196">
        <f t="shared" si="13"/>
        <v>7515189.080000001</v>
      </c>
      <c r="H196" s="1">
        <v>45274</v>
      </c>
      <c r="I196" s="1" t="str">
        <f t="shared" si="14"/>
        <v>Dec</v>
      </c>
      <c r="J196" s="1" t="str">
        <f t="shared" si="15"/>
        <v>2023</v>
      </c>
      <c r="K196" t="s">
        <v>51</v>
      </c>
      <c r="L196" t="s">
        <v>933</v>
      </c>
    </row>
    <row r="197" spans="1:12" x14ac:dyDescent="0.25">
      <c r="A197" t="s">
        <v>908</v>
      </c>
      <c r="B197" t="str">
        <f t="shared" si="12"/>
        <v>Identified</v>
      </c>
      <c r="C197" t="s">
        <v>18</v>
      </c>
      <c r="D197" t="s">
        <v>25</v>
      </c>
      <c r="E197">
        <v>47</v>
      </c>
      <c r="F197">
        <v>41678.71</v>
      </c>
      <c r="G197">
        <f t="shared" si="13"/>
        <v>1958899.3699999999</v>
      </c>
      <c r="H197" s="1">
        <v>45343</v>
      </c>
      <c r="I197" s="1" t="str">
        <f t="shared" si="14"/>
        <v>Feb</v>
      </c>
      <c r="J197" s="1" t="str">
        <f t="shared" si="15"/>
        <v>2024</v>
      </c>
      <c r="K197" t="s">
        <v>15</v>
      </c>
      <c r="L197" t="s">
        <v>909</v>
      </c>
    </row>
    <row r="198" spans="1:12" x14ac:dyDescent="0.25">
      <c r="A198" t="s">
        <v>1065</v>
      </c>
      <c r="B198" t="str">
        <f t="shared" si="12"/>
        <v>Identified</v>
      </c>
      <c r="C198" t="s">
        <v>28</v>
      </c>
      <c r="D198" t="s">
        <v>59</v>
      </c>
      <c r="E198">
        <v>47</v>
      </c>
      <c r="F198">
        <v>162398.45000000001</v>
      </c>
      <c r="G198">
        <f t="shared" si="13"/>
        <v>7632727.1500000004</v>
      </c>
      <c r="H198" s="1">
        <v>45146</v>
      </c>
      <c r="I198" s="1" t="str">
        <f t="shared" si="14"/>
        <v>Aug</v>
      </c>
      <c r="J198" s="1" t="str">
        <f t="shared" si="15"/>
        <v>2023</v>
      </c>
      <c r="K198" t="s">
        <v>51</v>
      </c>
      <c r="L198" t="s">
        <v>1066</v>
      </c>
    </row>
    <row r="199" spans="1:12" x14ac:dyDescent="0.25">
      <c r="A199" t="s">
        <v>191</v>
      </c>
      <c r="B199" t="str">
        <f t="shared" si="12"/>
        <v>Identified</v>
      </c>
      <c r="C199" t="s">
        <v>36</v>
      </c>
      <c r="D199" t="s">
        <v>25</v>
      </c>
      <c r="E199">
        <v>47</v>
      </c>
      <c r="F199">
        <v>282474.92</v>
      </c>
      <c r="G199">
        <f t="shared" si="13"/>
        <v>13276321.239999998</v>
      </c>
      <c r="H199" s="1">
        <v>45602</v>
      </c>
      <c r="I199" s="1" t="str">
        <f t="shared" si="14"/>
        <v>Nov</v>
      </c>
      <c r="J199" s="1" t="str">
        <f t="shared" si="15"/>
        <v>2024</v>
      </c>
      <c r="K199" t="s">
        <v>15</v>
      </c>
      <c r="L199" t="s">
        <v>192</v>
      </c>
    </row>
    <row r="200" spans="1:12" x14ac:dyDescent="0.25">
      <c r="A200" t="s">
        <v>107</v>
      </c>
      <c r="B200" t="str">
        <f t="shared" si="12"/>
        <v>Identified</v>
      </c>
      <c r="C200" t="s">
        <v>97</v>
      </c>
      <c r="D200" t="s">
        <v>98</v>
      </c>
      <c r="E200">
        <v>47</v>
      </c>
      <c r="F200">
        <v>216494.26</v>
      </c>
      <c r="G200">
        <f t="shared" si="13"/>
        <v>10175230.220000001</v>
      </c>
      <c r="H200" s="1">
        <v>45404</v>
      </c>
      <c r="I200" s="1" t="str">
        <f t="shared" si="14"/>
        <v>Apr</v>
      </c>
      <c r="J200" s="1" t="str">
        <f t="shared" si="15"/>
        <v>2024</v>
      </c>
      <c r="K200" t="s">
        <v>11</v>
      </c>
      <c r="L200" t="s">
        <v>108</v>
      </c>
    </row>
    <row r="201" spans="1:12" x14ac:dyDescent="0.25">
      <c r="A201" t="s">
        <v>844</v>
      </c>
      <c r="B201" t="str">
        <f t="shared" si="12"/>
        <v>Identified</v>
      </c>
      <c r="C201" t="s">
        <v>143</v>
      </c>
      <c r="D201" t="s">
        <v>25</v>
      </c>
      <c r="E201">
        <v>47</v>
      </c>
      <c r="F201">
        <v>155709.06</v>
      </c>
      <c r="G201">
        <f t="shared" si="13"/>
        <v>7318325.8200000003</v>
      </c>
      <c r="H201" s="1">
        <v>45628</v>
      </c>
      <c r="I201" s="1" t="str">
        <f t="shared" si="14"/>
        <v>Dec</v>
      </c>
      <c r="J201" s="1" t="str">
        <f t="shared" si="15"/>
        <v>2024</v>
      </c>
      <c r="K201" t="s">
        <v>51</v>
      </c>
      <c r="L201" t="s">
        <v>1087</v>
      </c>
    </row>
    <row r="202" spans="1:12" x14ac:dyDescent="0.25">
      <c r="A202" t="s">
        <v>766</v>
      </c>
      <c r="B202" t="str">
        <f t="shared" si="12"/>
        <v>Identified</v>
      </c>
      <c r="C202" t="s">
        <v>39</v>
      </c>
      <c r="D202" t="s">
        <v>76</v>
      </c>
      <c r="E202">
        <v>47</v>
      </c>
      <c r="F202">
        <v>12344.49</v>
      </c>
      <c r="G202">
        <f t="shared" si="13"/>
        <v>580191.03</v>
      </c>
      <c r="H202" s="1">
        <v>45436</v>
      </c>
      <c r="I202" s="1" t="str">
        <f t="shared" si="14"/>
        <v>May</v>
      </c>
      <c r="J202" s="1" t="str">
        <f t="shared" si="15"/>
        <v>2024</v>
      </c>
      <c r="K202" t="s">
        <v>15</v>
      </c>
      <c r="L202" t="s">
        <v>1087</v>
      </c>
    </row>
    <row r="203" spans="1:12" x14ac:dyDescent="0.25">
      <c r="A203" t="s">
        <v>53</v>
      </c>
      <c r="B203" t="str">
        <f t="shared" si="12"/>
        <v>Identified</v>
      </c>
      <c r="C203" t="s">
        <v>13</v>
      </c>
      <c r="D203" t="s">
        <v>25</v>
      </c>
      <c r="E203">
        <v>43</v>
      </c>
      <c r="F203">
        <v>147209.07</v>
      </c>
      <c r="G203">
        <f t="shared" si="13"/>
        <v>6329990.0100000007</v>
      </c>
      <c r="H203" s="1">
        <v>45210</v>
      </c>
      <c r="I203" s="1" t="str">
        <f t="shared" si="14"/>
        <v>Oct</v>
      </c>
      <c r="J203" s="1" t="str">
        <f t="shared" si="15"/>
        <v>2023</v>
      </c>
      <c r="K203" t="s">
        <v>15</v>
      </c>
      <c r="L203" t="s">
        <v>54</v>
      </c>
    </row>
    <row r="204" spans="1:12" x14ac:dyDescent="0.25">
      <c r="A204" t="s">
        <v>383</v>
      </c>
      <c r="B204" t="str">
        <f t="shared" si="12"/>
        <v>Identified</v>
      </c>
      <c r="C204" t="s">
        <v>36</v>
      </c>
      <c r="D204" t="s">
        <v>59</v>
      </c>
      <c r="E204">
        <v>47</v>
      </c>
      <c r="F204">
        <v>202483.14</v>
      </c>
      <c r="G204">
        <f t="shared" si="13"/>
        <v>9516707.5800000001</v>
      </c>
      <c r="H204" s="1">
        <v>45688</v>
      </c>
      <c r="I204" s="1" t="str">
        <f t="shared" si="14"/>
        <v>Jan</v>
      </c>
      <c r="J204" s="1" t="str">
        <f t="shared" si="15"/>
        <v>2025</v>
      </c>
      <c r="K204" t="s">
        <v>11</v>
      </c>
      <c r="L204" t="s">
        <v>384</v>
      </c>
    </row>
    <row r="205" spans="1:12" x14ac:dyDescent="0.25">
      <c r="A205" t="s">
        <v>405</v>
      </c>
      <c r="B205" t="str">
        <f t="shared" si="12"/>
        <v>Identified</v>
      </c>
      <c r="C205" t="s">
        <v>83</v>
      </c>
      <c r="D205" t="s">
        <v>29</v>
      </c>
      <c r="E205">
        <v>47</v>
      </c>
      <c r="F205">
        <v>280779.7</v>
      </c>
      <c r="G205">
        <f t="shared" si="13"/>
        <v>13196645.9</v>
      </c>
      <c r="H205" s="1">
        <v>45480</v>
      </c>
      <c r="I205" s="1" t="str">
        <f t="shared" si="14"/>
        <v>Jul</v>
      </c>
      <c r="J205" s="1" t="str">
        <f t="shared" si="15"/>
        <v>2024</v>
      </c>
      <c r="K205" t="s">
        <v>30</v>
      </c>
      <c r="L205" t="s">
        <v>406</v>
      </c>
    </row>
    <row r="206" spans="1:12" x14ac:dyDescent="0.25">
      <c r="A206" t="s">
        <v>610</v>
      </c>
      <c r="B206" t="str">
        <f t="shared" si="12"/>
        <v>Identified</v>
      </c>
      <c r="C206" t="s">
        <v>39</v>
      </c>
      <c r="D206" t="s">
        <v>19</v>
      </c>
      <c r="E206">
        <v>54</v>
      </c>
      <c r="F206">
        <v>139169.67000000001</v>
      </c>
      <c r="G206">
        <f t="shared" si="13"/>
        <v>7515162.1800000006</v>
      </c>
      <c r="H206" s="1">
        <v>45376</v>
      </c>
      <c r="I206" s="1" t="str">
        <f t="shared" si="14"/>
        <v>Mar</v>
      </c>
      <c r="J206" s="1" t="str">
        <f t="shared" si="15"/>
        <v>2024</v>
      </c>
      <c r="K206" t="s">
        <v>30</v>
      </c>
      <c r="L206" t="s">
        <v>611</v>
      </c>
    </row>
    <row r="207" spans="1:12" x14ac:dyDescent="0.25">
      <c r="A207" t="s">
        <v>1039</v>
      </c>
      <c r="B207" t="str">
        <f t="shared" si="12"/>
        <v>Identified</v>
      </c>
      <c r="C207" t="s">
        <v>22</v>
      </c>
      <c r="D207" t="s">
        <v>25</v>
      </c>
      <c r="E207">
        <v>47</v>
      </c>
      <c r="F207">
        <v>54216.67</v>
      </c>
      <c r="G207">
        <f t="shared" si="13"/>
        <v>2548183.4899999998</v>
      </c>
      <c r="H207" s="1">
        <v>45718</v>
      </c>
      <c r="I207" s="1" t="str">
        <f t="shared" si="14"/>
        <v>Mar</v>
      </c>
      <c r="J207" s="1" t="str">
        <f t="shared" si="15"/>
        <v>2025</v>
      </c>
      <c r="K207" t="s">
        <v>11</v>
      </c>
      <c r="L207" t="s">
        <v>1040</v>
      </c>
    </row>
    <row r="208" spans="1:12" x14ac:dyDescent="0.25">
      <c r="A208" t="s">
        <v>1002</v>
      </c>
      <c r="B208" t="str">
        <f t="shared" si="12"/>
        <v>Identified</v>
      </c>
      <c r="C208" t="s">
        <v>97</v>
      </c>
      <c r="D208" t="s">
        <v>76</v>
      </c>
      <c r="E208">
        <v>54</v>
      </c>
      <c r="F208">
        <v>25264.49</v>
      </c>
      <c r="G208">
        <f t="shared" si="13"/>
        <v>1364282.4600000002</v>
      </c>
      <c r="H208" s="1">
        <v>45815</v>
      </c>
      <c r="I208" s="1" t="str">
        <f t="shared" si="14"/>
        <v>Jun</v>
      </c>
      <c r="J208" s="1" t="str">
        <f t="shared" si="15"/>
        <v>2025</v>
      </c>
      <c r="K208" t="s">
        <v>51</v>
      </c>
      <c r="L208" t="s">
        <v>1003</v>
      </c>
    </row>
    <row r="209" spans="1:12" x14ac:dyDescent="0.25">
      <c r="A209" t="s">
        <v>317</v>
      </c>
      <c r="B209" t="str">
        <f t="shared" si="12"/>
        <v>Identified</v>
      </c>
      <c r="C209" t="s">
        <v>13</v>
      </c>
      <c r="D209" t="s">
        <v>19</v>
      </c>
      <c r="E209">
        <v>47</v>
      </c>
      <c r="F209">
        <v>276480.53000000003</v>
      </c>
      <c r="G209">
        <f t="shared" si="13"/>
        <v>12994584.910000002</v>
      </c>
      <c r="H209" s="1">
        <v>45441</v>
      </c>
      <c r="I209" s="1" t="str">
        <f t="shared" si="14"/>
        <v>May</v>
      </c>
      <c r="J209" s="1" t="str">
        <f t="shared" si="15"/>
        <v>2024</v>
      </c>
      <c r="K209" t="s">
        <v>30</v>
      </c>
      <c r="L209" t="s">
        <v>318</v>
      </c>
    </row>
    <row r="210" spans="1:12" x14ac:dyDescent="0.25">
      <c r="A210" t="s">
        <v>949</v>
      </c>
      <c r="B210" t="str">
        <f t="shared" si="12"/>
        <v>Identified</v>
      </c>
      <c r="C210" t="s">
        <v>28</v>
      </c>
      <c r="D210" t="s">
        <v>29</v>
      </c>
      <c r="E210">
        <v>47</v>
      </c>
      <c r="F210">
        <v>129456.68</v>
      </c>
      <c r="G210">
        <f t="shared" si="13"/>
        <v>6084463.96</v>
      </c>
      <c r="H210" s="1">
        <v>44995</v>
      </c>
      <c r="I210" s="1" t="str">
        <f t="shared" si="14"/>
        <v>Mar</v>
      </c>
      <c r="J210" s="1" t="str">
        <f t="shared" si="15"/>
        <v>2023</v>
      </c>
      <c r="K210" t="s">
        <v>30</v>
      </c>
      <c r="L210" t="s">
        <v>1087</v>
      </c>
    </row>
    <row r="211" spans="1:12" x14ac:dyDescent="0.25">
      <c r="A211" t="s">
        <v>379</v>
      </c>
      <c r="B211" t="str">
        <f t="shared" si="12"/>
        <v>Identified</v>
      </c>
      <c r="C211" t="s">
        <v>28</v>
      </c>
      <c r="D211" t="s">
        <v>59</v>
      </c>
      <c r="E211">
        <v>47</v>
      </c>
      <c r="F211">
        <v>101465.1</v>
      </c>
      <c r="G211">
        <f t="shared" si="13"/>
        <v>4768859.7</v>
      </c>
      <c r="H211" s="1">
        <v>45675</v>
      </c>
      <c r="I211" s="1" t="str">
        <f t="shared" si="14"/>
        <v>Jan</v>
      </c>
      <c r="J211" s="1" t="str">
        <f t="shared" si="15"/>
        <v>2025</v>
      </c>
      <c r="K211" t="s">
        <v>30</v>
      </c>
      <c r="L211" t="s">
        <v>380</v>
      </c>
    </row>
    <row r="212" spans="1:12" x14ac:dyDescent="0.25">
      <c r="A212" t="s">
        <v>1009</v>
      </c>
      <c r="B212" t="str">
        <f t="shared" si="12"/>
        <v>Identified</v>
      </c>
      <c r="C212" t="s">
        <v>22</v>
      </c>
      <c r="D212" t="s">
        <v>98</v>
      </c>
      <c r="E212">
        <v>98</v>
      </c>
      <c r="F212">
        <v>293210.09999999998</v>
      </c>
      <c r="G212">
        <f t="shared" si="13"/>
        <v>28734589.799999997</v>
      </c>
      <c r="H212" s="1">
        <v>45488</v>
      </c>
      <c r="I212" s="1" t="str">
        <f t="shared" si="14"/>
        <v>Jul</v>
      </c>
      <c r="J212" s="1" t="str">
        <f t="shared" si="15"/>
        <v>2024</v>
      </c>
      <c r="K212" t="s">
        <v>11</v>
      </c>
      <c r="L212" t="s">
        <v>1010</v>
      </c>
    </row>
    <row r="213" spans="1:12" x14ac:dyDescent="0.25">
      <c r="A213" t="s">
        <v>783</v>
      </c>
      <c r="B213" t="str">
        <f t="shared" si="12"/>
        <v>Identified</v>
      </c>
      <c r="C213" t="s">
        <v>28</v>
      </c>
      <c r="D213" t="s">
        <v>19</v>
      </c>
      <c r="E213">
        <v>47</v>
      </c>
      <c r="F213">
        <v>91304.81</v>
      </c>
      <c r="G213">
        <f t="shared" si="13"/>
        <v>4291326.07</v>
      </c>
      <c r="H213" s="1">
        <v>45682</v>
      </c>
      <c r="I213" s="1" t="str">
        <f t="shared" si="14"/>
        <v>Jan</v>
      </c>
      <c r="J213" s="1" t="str">
        <f t="shared" si="15"/>
        <v>2025</v>
      </c>
      <c r="K213" t="s">
        <v>11</v>
      </c>
      <c r="L213" t="s">
        <v>784</v>
      </c>
    </row>
    <row r="214" spans="1:12" x14ac:dyDescent="0.25">
      <c r="A214" t="s">
        <v>299</v>
      </c>
      <c r="B214" t="str">
        <f t="shared" si="12"/>
        <v>Identified</v>
      </c>
      <c r="C214" t="s">
        <v>33</v>
      </c>
      <c r="D214" t="s">
        <v>19</v>
      </c>
      <c r="E214">
        <v>47</v>
      </c>
      <c r="F214">
        <v>85981.89</v>
      </c>
      <c r="G214">
        <f t="shared" si="13"/>
        <v>4041148.83</v>
      </c>
      <c r="H214" s="1">
        <v>45153</v>
      </c>
      <c r="I214" s="1" t="str">
        <f t="shared" si="14"/>
        <v>Aug</v>
      </c>
      <c r="J214" s="1" t="str">
        <f t="shared" si="15"/>
        <v>2023</v>
      </c>
      <c r="K214" t="s">
        <v>30</v>
      </c>
      <c r="L214" t="s">
        <v>300</v>
      </c>
    </row>
    <row r="215" spans="1:12" x14ac:dyDescent="0.25">
      <c r="A215" t="s">
        <v>117</v>
      </c>
      <c r="B215" t="str">
        <f t="shared" si="12"/>
        <v>Identified</v>
      </c>
      <c r="C215" t="s">
        <v>33</v>
      </c>
      <c r="D215" t="s">
        <v>59</v>
      </c>
      <c r="E215">
        <v>79</v>
      </c>
      <c r="F215">
        <v>73037.87</v>
      </c>
      <c r="G215">
        <f t="shared" si="13"/>
        <v>5769991.7299999995</v>
      </c>
      <c r="H215" s="1">
        <v>45218</v>
      </c>
      <c r="I215" s="1" t="str">
        <f t="shared" si="14"/>
        <v>Oct</v>
      </c>
      <c r="J215" s="1" t="str">
        <f t="shared" si="15"/>
        <v>2023</v>
      </c>
      <c r="K215" t="s">
        <v>15</v>
      </c>
      <c r="L215" t="s">
        <v>118</v>
      </c>
    </row>
    <row r="216" spans="1:12" x14ac:dyDescent="0.25">
      <c r="A216" t="s">
        <v>391</v>
      </c>
      <c r="B216" t="str">
        <f t="shared" si="12"/>
        <v>Identified</v>
      </c>
      <c r="C216" t="s">
        <v>66</v>
      </c>
      <c r="D216" t="s">
        <v>25</v>
      </c>
      <c r="E216">
        <v>26</v>
      </c>
      <c r="F216">
        <v>121944.37</v>
      </c>
      <c r="G216">
        <f t="shared" si="13"/>
        <v>3170553.62</v>
      </c>
      <c r="H216" s="1">
        <v>45219</v>
      </c>
      <c r="I216" s="1" t="str">
        <f t="shared" si="14"/>
        <v>Oct</v>
      </c>
      <c r="J216" s="1" t="str">
        <f t="shared" si="15"/>
        <v>2023</v>
      </c>
      <c r="K216" t="s">
        <v>30</v>
      </c>
      <c r="L216" t="s">
        <v>392</v>
      </c>
    </row>
    <row r="217" spans="1:12" x14ac:dyDescent="0.25">
      <c r="A217" t="s">
        <v>1001</v>
      </c>
      <c r="B217" t="str">
        <f t="shared" si="12"/>
        <v>Identified</v>
      </c>
      <c r="C217" t="s">
        <v>66</v>
      </c>
      <c r="D217" t="s">
        <v>29</v>
      </c>
      <c r="E217">
        <v>47</v>
      </c>
      <c r="F217">
        <v>211002.12</v>
      </c>
      <c r="G217">
        <f t="shared" si="13"/>
        <v>9917099.6400000006</v>
      </c>
      <c r="H217" s="1">
        <v>45625</v>
      </c>
      <c r="I217" s="1" t="str">
        <f t="shared" si="14"/>
        <v>Nov</v>
      </c>
      <c r="J217" s="1" t="str">
        <f t="shared" si="15"/>
        <v>2024</v>
      </c>
      <c r="K217" t="s">
        <v>30</v>
      </c>
      <c r="L217" t="s">
        <v>1087</v>
      </c>
    </row>
    <row r="218" spans="1:12" x14ac:dyDescent="0.25">
      <c r="A218" t="s">
        <v>906</v>
      </c>
      <c r="B218" t="str">
        <f t="shared" si="12"/>
        <v>Identified</v>
      </c>
      <c r="C218" t="s">
        <v>57</v>
      </c>
      <c r="D218" t="s">
        <v>76</v>
      </c>
      <c r="E218">
        <v>24</v>
      </c>
      <c r="F218">
        <v>2411.96</v>
      </c>
      <c r="G218">
        <f t="shared" si="13"/>
        <v>57887.040000000001</v>
      </c>
      <c r="H218" s="1">
        <v>44937</v>
      </c>
      <c r="I218" s="1" t="str">
        <f t="shared" si="14"/>
        <v>Jan</v>
      </c>
      <c r="J218" s="1" t="str">
        <f t="shared" si="15"/>
        <v>2023</v>
      </c>
      <c r="K218" t="s">
        <v>11</v>
      </c>
      <c r="L218" t="s">
        <v>907</v>
      </c>
    </row>
    <row r="219" spans="1:12" x14ac:dyDescent="0.25">
      <c r="A219" t="s">
        <v>923</v>
      </c>
      <c r="B219" t="str">
        <f t="shared" si="12"/>
        <v>Identified</v>
      </c>
      <c r="C219" t="s">
        <v>46</v>
      </c>
      <c r="D219" t="s">
        <v>76</v>
      </c>
      <c r="E219">
        <v>33</v>
      </c>
      <c r="F219">
        <v>191499.71</v>
      </c>
      <c r="G219">
        <f t="shared" si="13"/>
        <v>6319490.4299999997</v>
      </c>
      <c r="H219" s="1">
        <v>45303</v>
      </c>
      <c r="I219" s="1" t="str">
        <f t="shared" si="14"/>
        <v>Jan</v>
      </c>
      <c r="J219" s="1" t="str">
        <f t="shared" si="15"/>
        <v>2024</v>
      </c>
      <c r="K219" t="s">
        <v>11</v>
      </c>
      <c r="L219" t="s">
        <v>1087</v>
      </c>
    </row>
    <row r="220" spans="1:12" x14ac:dyDescent="0.25">
      <c r="A220" t="s">
        <v>387</v>
      </c>
      <c r="B220" t="str">
        <f t="shared" si="12"/>
        <v>Identified</v>
      </c>
      <c r="C220" t="s">
        <v>18</v>
      </c>
      <c r="D220" t="s">
        <v>19</v>
      </c>
      <c r="E220">
        <v>31</v>
      </c>
      <c r="F220">
        <v>183480.87</v>
      </c>
      <c r="G220">
        <f t="shared" si="13"/>
        <v>5687906.9699999997</v>
      </c>
      <c r="H220" s="1">
        <v>45386</v>
      </c>
      <c r="I220" s="1" t="str">
        <f t="shared" si="14"/>
        <v>Apr</v>
      </c>
      <c r="J220" s="1" t="str">
        <f t="shared" si="15"/>
        <v>2024</v>
      </c>
      <c r="K220" t="s">
        <v>15</v>
      </c>
      <c r="L220" t="s">
        <v>388</v>
      </c>
    </row>
    <row r="221" spans="1:12" x14ac:dyDescent="0.25">
      <c r="A221" t="s">
        <v>1071</v>
      </c>
      <c r="B221" t="str">
        <f t="shared" si="12"/>
        <v>Identified</v>
      </c>
      <c r="C221" t="s">
        <v>36</v>
      </c>
      <c r="D221" t="s">
        <v>76</v>
      </c>
      <c r="E221">
        <v>47</v>
      </c>
      <c r="F221">
        <v>222053.68</v>
      </c>
      <c r="G221">
        <f t="shared" si="13"/>
        <v>10436522.959999999</v>
      </c>
      <c r="H221" s="1">
        <v>45730</v>
      </c>
      <c r="I221" s="1" t="str">
        <f t="shared" si="14"/>
        <v>Mar</v>
      </c>
      <c r="J221" s="1" t="str">
        <f t="shared" si="15"/>
        <v>2025</v>
      </c>
      <c r="K221" t="s">
        <v>11</v>
      </c>
      <c r="L221" t="s">
        <v>1072</v>
      </c>
    </row>
    <row r="222" spans="1:12" x14ac:dyDescent="0.25">
      <c r="A222" t="s">
        <v>862</v>
      </c>
      <c r="B222" t="str">
        <f t="shared" si="12"/>
        <v>Identified</v>
      </c>
      <c r="C222" t="s">
        <v>119</v>
      </c>
      <c r="D222" t="s">
        <v>29</v>
      </c>
      <c r="E222">
        <v>82</v>
      </c>
      <c r="F222">
        <v>155623.85999999999</v>
      </c>
      <c r="G222">
        <f t="shared" si="13"/>
        <v>12761156.52</v>
      </c>
      <c r="H222" s="1">
        <v>45870</v>
      </c>
      <c r="I222" s="1" t="str">
        <f t="shared" si="14"/>
        <v>Aug</v>
      </c>
      <c r="J222" s="1" t="str">
        <f t="shared" si="15"/>
        <v>2025</v>
      </c>
      <c r="K222" t="s">
        <v>51</v>
      </c>
      <c r="L222" t="s">
        <v>863</v>
      </c>
    </row>
    <row r="223" spans="1:12" x14ac:dyDescent="0.25">
      <c r="A223" t="s">
        <v>509</v>
      </c>
      <c r="B223" t="str">
        <f t="shared" si="12"/>
        <v>Identified</v>
      </c>
      <c r="C223" t="s">
        <v>46</v>
      </c>
      <c r="D223" t="s">
        <v>25</v>
      </c>
      <c r="E223">
        <v>47</v>
      </c>
      <c r="F223">
        <v>155709.06</v>
      </c>
      <c r="G223">
        <f t="shared" si="13"/>
        <v>7318325.8200000003</v>
      </c>
      <c r="H223" s="1">
        <v>45776</v>
      </c>
      <c r="I223" s="1" t="str">
        <f t="shared" si="14"/>
        <v>Apr</v>
      </c>
      <c r="J223" s="1" t="str">
        <f t="shared" si="15"/>
        <v>2025</v>
      </c>
      <c r="K223" t="s">
        <v>30</v>
      </c>
      <c r="L223" t="s">
        <v>510</v>
      </c>
    </row>
    <row r="224" spans="1:12" x14ac:dyDescent="0.25">
      <c r="A224" t="s">
        <v>950</v>
      </c>
      <c r="B224" t="str">
        <f t="shared" si="12"/>
        <v>Identified</v>
      </c>
      <c r="C224" t="s">
        <v>57</v>
      </c>
      <c r="D224" t="s">
        <v>25</v>
      </c>
      <c r="E224">
        <v>47</v>
      </c>
      <c r="F224">
        <v>281943.71999999997</v>
      </c>
      <c r="G224">
        <f t="shared" si="13"/>
        <v>13251354.839999998</v>
      </c>
      <c r="H224" s="1">
        <v>45596</v>
      </c>
      <c r="I224" s="1" t="str">
        <f t="shared" si="14"/>
        <v>Oct</v>
      </c>
      <c r="J224" s="1" t="str">
        <f t="shared" si="15"/>
        <v>2024</v>
      </c>
      <c r="K224" t="s">
        <v>51</v>
      </c>
      <c r="L224" t="s">
        <v>951</v>
      </c>
    </row>
    <row r="225" spans="1:12" x14ac:dyDescent="0.25">
      <c r="A225" t="s">
        <v>653</v>
      </c>
      <c r="B225" t="str">
        <f t="shared" si="12"/>
        <v>Identified</v>
      </c>
      <c r="C225" t="s">
        <v>83</v>
      </c>
      <c r="D225" t="s">
        <v>50</v>
      </c>
      <c r="E225">
        <v>59</v>
      </c>
      <c r="F225">
        <v>13748.9</v>
      </c>
      <c r="G225">
        <f t="shared" si="13"/>
        <v>811185.1</v>
      </c>
      <c r="H225" s="1">
        <v>45543</v>
      </c>
      <c r="I225" s="1" t="str">
        <f t="shared" si="14"/>
        <v>Sep</v>
      </c>
      <c r="J225" s="1" t="str">
        <f t="shared" si="15"/>
        <v>2024</v>
      </c>
      <c r="K225" t="s">
        <v>30</v>
      </c>
      <c r="L225" t="s">
        <v>654</v>
      </c>
    </row>
    <row r="226" spans="1:12" x14ac:dyDescent="0.25">
      <c r="A226" t="s">
        <v>725</v>
      </c>
      <c r="B226" t="str">
        <f t="shared" si="12"/>
        <v>Identified</v>
      </c>
      <c r="C226" t="s">
        <v>97</v>
      </c>
      <c r="D226" t="s">
        <v>76</v>
      </c>
      <c r="E226">
        <v>47</v>
      </c>
      <c r="F226">
        <v>72669.97</v>
      </c>
      <c r="G226">
        <f t="shared" si="13"/>
        <v>3415488.59</v>
      </c>
      <c r="H226" s="1">
        <v>45678</v>
      </c>
      <c r="I226" s="1" t="str">
        <f t="shared" si="14"/>
        <v>Jan</v>
      </c>
      <c r="J226" s="1" t="str">
        <f t="shared" si="15"/>
        <v>2025</v>
      </c>
      <c r="K226" t="s">
        <v>11</v>
      </c>
      <c r="L226" t="s">
        <v>726</v>
      </c>
    </row>
    <row r="227" spans="1:12" x14ac:dyDescent="0.25">
      <c r="A227" t="s">
        <v>884</v>
      </c>
      <c r="B227" t="str">
        <f t="shared" si="12"/>
        <v>Identified</v>
      </c>
      <c r="C227" t="s">
        <v>49</v>
      </c>
      <c r="D227" t="s">
        <v>19</v>
      </c>
      <c r="E227">
        <v>47</v>
      </c>
      <c r="F227">
        <v>42417.58</v>
      </c>
      <c r="G227">
        <f t="shared" si="13"/>
        <v>1993626.26</v>
      </c>
      <c r="H227" s="1">
        <v>45341</v>
      </c>
      <c r="I227" s="1" t="str">
        <f t="shared" si="14"/>
        <v>Feb</v>
      </c>
      <c r="J227" s="1" t="str">
        <f t="shared" si="15"/>
        <v>2024</v>
      </c>
      <c r="K227" t="s">
        <v>30</v>
      </c>
      <c r="L227" t="s">
        <v>885</v>
      </c>
    </row>
    <row r="228" spans="1:12" x14ac:dyDescent="0.25">
      <c r="A228" t="s">
        <v>889</v>
      </c>
      <c r="B228" t="str">
        <f t="shared" si="12"/>
        <v>Identified</v>
      </c>
      <c r="C228" t="s">
        <v>46</v>
      </c>
      <c r="D228" t="s">
        <v>25</v>
      </c>
      <c r="E228">
        <v>47</v>
      </c>
      <c r="F228">
        <v>266864.68</v>
      </c>
      <c r="G228">
        <f t="shared" si="13"/>
        <v>12542639.959999999</v>
      </c>
      <c r="H228" s="1">
        <v>45643</v>
      </c>
      <c r="I228" s="1" t="str">
        <f t="shared" si="14"/>
        <v>Dec</v>
      </c>
      <c r="J228" s="1" t="str">
        <f t="shared" si="15"/>
        <v>2024</v>
      </c>
      <c r="K228" t="s">
        <v>30</v>
      </c>
      <c r="L228" t="s">
        <v>890</v>
      </c>
    </row>
    <row r="229" spans="1:12" x14ac:dyDescent="0.25">
      <c r="A229" t="s">
        <v>779</v>
      </c>
      <c r="B229" t="str">
        <f t="shared" si="12"/>
        <v>Identified</v>
      </c>
      <c r="C229" t="s">
        <v>28</v>
      </c>
      <c r="D229" t="s">
        <v>76</v>
      </c>
      <c r="E229">
        <v>47</v>
      </c>
      <c r="F229">
        <v>63062.28</v>
      </c>
      <c r="G229">
        <f t="shared" si="13"/>
        <v>2963927.16</v>
      </c>
      <c r="H229" s="1">
        <v>45776</v>
      </c>
      <c r="I229" s="1" t="str">
        <f t="shared" si="14"/>
        <v>Apr</v>
      </c>
      <c r="J229" s="1" t="str">
        <f t="shared" si="15"/>
        <v>2025</v>
      </c>
      <c r="K229" t="s">
        <v>51</v>
      </c>
      <c r="L229" t="s">
        <v>780</v>
      </c>
    </row>
    <row r="230" spans="1:12" x14ac:dyDescent="0.25">
      <c r="A230" t="s">
        <v>781</v>
      </c>
      <c r="B230" t="str">
        <f t="shared" si="12"/>
        <v>Identified</v>
      </c>
      <c r="C230" t="s">
        <v>46</v>
      </c>
      <c r="D230" t="s">
        <v>14</v>
      </c>
      <c r="E230">
        <v>47</v>
      </c>
      <c r="F230">
        <v>272156.33</v>
      </c>
      <c r="G230">
        <f t="shared" si="13"/>
        <v>12791347.510000002</v>
      </c>
      <c r="H230" s="1">
        <v>45659</v>
      </c>
      <c r="I230" s="1" t="str">
        <f t="shared" si="14"/>
        <v>Jan</v>
      </c>
      <c r="J230" s="1" t="str">
        <f t="shared" si="15"/>
        <v>2025</v>
      </c>
      <c r="K230" t="s">
        <v>30</v>
      </c>
      <c r="L230" t="s">
        <v>782</v>
      </c>
    </row>
    <row r="231" spans="1:12" x14ac:dyDescent="0.25">
      <c r="A231" t="s">
        <v>183</v>
      </c>
      <c r="B231" t="str">
        <f t="shared" si="12"/>
        <v>Identified</v>
      </c>
      <c r="C231" t="s">
        <v>18</v>
      </c>
      <c r="D231" t="s">
        <v>59</v>
      </c>
      <c r="E231">
        <v>47</v>
      </c>
      <c r="F231">
        <v>156399.29999999999</v>
      </c>
      <c r="G231">
        <f t="shared" si="13"/>
        <v>7350767.0999999996</v>
      </c>
      <c r="H231" s="1">
        <v>45545</v>
      </c>
      <c r="I231" s="1" t="str">
        <f t="shared" si="14"/>
        <v>Sep</v>
      </c>
      <c r="J231" s="1" t="str">
        <f t="shared" si="15"/>
        <v>2024</v>
      </c>
      <c r="K231" t="s">
        <v>51</v>
      </c>
      <c r="L231" t="s">
        <v>1087</v>
      </c>
    </row>
    <row r="232" spans="1:12" x14ac:dyDescent="0.25">
      <c r="A232" t="s">
        <v>633</v>
      </c>
      <c r="B232" t="str">
        <f t="shared" si="12"/>
        <v>Identified</v>
      </c>
      <c r="C232" t="s">
        <v>87</v>
      </c>
      <c r="D232" t="s">
        <v>59</v>
      </c>
      <c r="E232">
        <v>79</v>
      </c>
      <c r="F232">
        <v>184669.5</v>
      </c>
      <c r="G232">
        <f t="shared" si="13"/>
        <v>14588890.5</v>
      </c>
      <c r="H232" s="1">
        <v>45365</v>
      </c>
      <c r="I232" s="1" t="str">
        <f t="shared" si="14"/>
        <v>Mar</v>
      </c>
      <c r="J232" s="1" t="str">
        <f t="shared" si="15"/>
        <v>2024</v>
      </c>
      <c r="K232" t="s">
        <v>15</v>
      </c>
      <c r="L232" t="s">
        <v>634</v>
      </c>
    </row>
    <row r="233" spans="1:12" x14ac:dyDescent="0.25">
      <c r="A233" t="s">
        <v>443</v>
      </c>
      <c r="B233" t="str">
        <f t="shared" si="12"/>
        <v>Identified</v>
      </c>
      <c r="C233" t="s">
        <v>97</v>
      </c>
      <c r="D233" t="s">
        <v>50</v>
      </c>
      <c r="E233">
        <v>47</v>
      </c>
      <c r="F233">
        <v>207241.97</v>
      </c>
      <c r="G233">
        <f t="shared" si="13"/>
        <v>9740372.5899999999</v>
      </c>
      <c r="H233" s="1">
        <v>45301</v>
      </c>
      <c r="I233" s="1" t="str">
        <f t="shared" si="14"/>
        <v>Jan</v>
      </c>
      <c r="J233" s="1" t="str">
        <f t="shared" si="15"/>
        <v>2024</v>
      </c>
      <c r="K233" t="s">
        <v>30</v>
      </c>
      <c r="L233" t="s">
        <v>444</v>
      </c>
    </row>
    <row r="234" spans="1:12" x14ac:dyDescent="0.25">
      <c r="A234" t="s">
        <v>153</v>
      </c>
      <c r="B234" t="str">
        <f t="shared" si="12"/>
        <v>Identified</v>
      </c>
      <c r="C234" t="s">
        <v>39</v>
      </c>
      <c r="D234" t="s">
        <v>98</v>
      </c>
      <c r="E234">
        <v>47</v>
      </c>
      <c r="F234">
        <v>168485.59</v>
      </c>
      <c r="G234">
        <f t="shared" si="13"/>
        <v>7918822.7299999995</v>
      </c>
      <c r="H234" s="1">
        <v>45215</v>
      </c>
      <c r="I234" s="1" t="str">
        <f t="shared" si="14"/>
        <v>Oct</v>
      </c>
      <c r="J234" s="1" t="str">
        <f t="shared" si="15"/>
        <v>2023</v>
      </c>
      <c r="K234" t="s">
        <v>30</v>
      </c>
      <c r="L234" t="s">
        <v>154</v>
      </c>
    </row>
    <row r="235" spans="1:12" x14ac:dyDescent="0.25">
      <c r="A235" t="s">
        <v>256</v>
      </c>
      <c r="B235" t="str">
        <f t="shared" si="12"/>
        <v>Identified</v>
      </c>
      <c r="C235" t="s">
        <v>115</v>
      </c>
      <c r="D235" t="s">
        <v>29</v>
      </c>
      <c r="E235">
        <v>9</v>
      </c>
      <c r="F235">
        <v>222396.85</v>
      </c>
      <c r="G235">
        <f t="shared" si="13"/>
        <v>2001571.6500000001</v>
      </c>
      <c r="H235" s="1">
        <v>45190</v>
      </c>
      <c r="I235" s="1" t="str">
        <f t="shared" si="14"/>
        <v>Sep</v>
      </c>
      <c r="J235" s="1" t="str">
        <f t="shared" si="15"/>
        <v>2023</v>
      </c>
      <c r="K235" t="s">
        <v>15</v>
      </c>
      <c r="L235" t="s">
        <v>257</v>
      </c>
    </row>
    <row r="236" spans="1:12" x14ac:dyDescent="0.25">
      <c r="A236" t="s">
        <v>529</v>
      </c>
      <c r="B236" t="str">
        <f t="shared" si="12"/>
        <v>Identified</v>
      </c>
      <c r="C236" t="s">
        <v>36</v>
      </c>
      <c r="D236" t="s">
        <v>19</v>
      </c>
      <c r="E236">
        <v>47</v>
      </c>
      <c r="F236">
        <v>155709.06</v>
      </c>
      <c r="G236">
        <f t="shared" si="13"/>
        <v>7318325.8200000003</v>
      </c>
      <c r="H236" s="1">
        <v>45402</v>
      </c>
      <c r="I236" s="1" t="str">
        <f t="shared" si="14"/>
        <v>Apr</v>
      </c>
      <c r="J236" s="1" t="str">
        <f t="shared" si="15"/>
        <v>2024</v>
      </c>
      <c r="K236" t="s">
        <v>51</v>
      </c>
      <c r="L236" t="s">
        <v>530</v>
      </c>
    </row>
    <row r="237" spans="1:12" x14ac:dyDescent="0.25">
      <c r="A237" t="s">
        <v>952</v>
      </c>
      <c r="B237" t="str">
        <f t="shared" si="12"/>
        <v>Identified</v>
      </c>
      <c r="C237" t="s">
        <v>46</v>
      </c>
      <c r="D237" t="s">
        <v>14</v>
      </c>
      <c r="E237">
        <v>47</v>
      </c>
      <c r="F237">
        <v>54190.42</v>
      </c>
      <c r="G237">
        <f t="shared" si="13"/>
        <v>2546949.7399999998</v>
      </c>
      <c r="H237" s="1">
        <v>45779</v>
      </c>
      <c r="I237" s="1" t="str">
        <f t="shared" si="14"/>
        <v>May</v>
      </c>
      <c r="J237" s="1" t="str">
        <f t="shared" si="15"/>
        <v>2025</v>
      </c>
      <c r="K237" t="s">
        <v>30</v>
      </c>
      <c r="L237" t="s">
        <v>953</v>
      </c>
    </row>
    <row r="238" spans="1:12" x14ac:dyDescent="0.25">
      <c r="A238" t="s">
        <v>878</v>
      </c>
      <c r="B238" t="str">
        <f t="shared" si="12"/>
        <v>Identified</v>
      </c>
      <c r="C238" t="s">
        <v>93</v>
      </c>
      <c r="D238" t="s">
        <v>19</v>
      </c>
      <c r="E238">
        <v>71</v>
      </c>
      <c r="F238">
        <v>219965.28</v>
      </c>
      <c r="G238">
        <f t="shared" si="13"/>
        <v>15617534.880000001</v>
      </c>
      <c r="H238" s="1">
        <v>45735</v>
      </c>
      <c r="I238" s="1" t="str">
        <f t="shared" si="14"/>
        <v>Mar</v>
      </c>
      <c r="J238" s="1" t="str">
        <f t="shared" si="15"/>
        <v>2025</v>
      </c>
      <c r="K238" t="s">
        <v>11</v>
      </c>
      <c r="L238" t="s">
        <v>879</v>
      </c>
    </row>
    <row r="239" spans="1:12" x14ac:dyDescent="0.25">
      <c r="A239" t="s">
        <v>897</v>
      </c>
      <c r="B239" t="str">
        <f t="shared" si="12"/>
        <v>Identified</v>
      </c>
      <c r="C239" t="s">
        <v>66</v>
      </c>
      <c r="D239" t="s">
        <v>14</v>
      </c>
      <c r="E239">
        <v>47</v>
      </c>
      <c r="F239">
        <v>251801.01</v>
      </c>
      <c r="G239">
        <f t="shared" si="13"/>
        <v>11834647.470000001</v>
      </c>
      <c r="H239" s="1">
        <v>45631</v>
      </c>
      <c r="I239" s="1" t="str">
        <f t="shared" si="14"/>
        <v>Dec</v>
      </c>
      <c r="J239" s="1" t="str">
        <f t="shared" si="15"/>
        <v>2024</v>
      </c>
      <c r="K239" t="s">
        <v>51</v>
      </c>
      <c r="L239" t="s">
        <v>1087</v>
      </c>
    </row>
    <row r="240" spans="1:12" x14ac:dyDescent="0.25">
      <c r="A240" t="s">
        <v>1081</v>
      </c>
      <c r="B240" t="str">
        <f t="shared" si="12"/>
        <v>Identified</v>
      </c>
      <c r="C240" t="s">
        <v>46</v>
      </c>
      <c r="D240" t="s">
        <v>59</v>
      </c>
      <c r="E240">
        <v>47</v>
      </c>
      <c r="F240">
        <v>29756.89</v>
      </c>
      <c r="G240">
        <f t="shared" si="13"/>
        <v>1398573.83</v>
      </c>
      <c r="H240" s="1">
        <v>45837</v>
      </c>
      <c r="I240" s="1" t="str">
        <f t="shared" si="14"/>
        <v>Jun</v>
      </c>
      <c r="J240" s="1" t="str">
        <f t="shared" si="15"/>
        <v>2025</v>
      </c>
      <c r="K240" t="s">
        <v>30</v>
      </c>
      <c r="L240" t="s">
        <v>1082</v>
      </c>
    </row>
    <row r="241" spans="1:12" x14ac:dyDescent="0.25">
      <c r="A241" t="s">
        <v>401</v>
      </c>
      <c r="B241" t="str">
        <f t="shared" si="12"/>
        <v>Identified</v>
      </c>
      <c r="C241" t="s">
        <v>115</v>
      </c>
      <c r="D241" t="s">
        <v>50</v>
      </c>
      <c r="E241">
        <v>47</v>
      </c>
      <c r="F241">
        <v>294514.71999999997</v>
      </c>
      <c r="G241">
        <f t="shared" si="13"/>
        <v>13842191.839999998</v>
      </c>
      <c r="H241" s="1">
        <v>45365</v>
      </c>
      <c r="I241" s="1" t="str">
        <f t="shared" si="14"/>
        <v>Mar</v>
      </c>
      <c r="J241" s="1" t="str">
        <f t="shared" si="15"/>
        <v>2024</v>
      </c>
      <c r="K241" t="s">
        <v>30</v>
      </c>
      <c r="L241" t="s">
        <v>402</v>
      </c>
    </row>
    <row r="242" spans="1:12" x14ac:dyDescent="0.25">
      <c r="A242" t="s">
        <v>395</v>
      </c>
      <c r="B242" t="str">
        <f t="shared" si="12"/>
        <v>Identified</v>
      </c>
      <c r="C242" t="s">
        <v>57</v>
      </c>
      <c r="D242" t="s">
        <v>29</v>
      </c>
      <c r="E242">
        <v>47</v>
      </c>
      <c r="F242">
        <v>98714.03</v>
      </c>
      <c r="G242">
        <f t="shared" si="13"/>
        <v>4639559.41</v>
      </c>
      <c r="H242" s="1">
        <v>45405</v>
      </c>
      <c r="I242" s="1" t="str">
        <f t="shared" si="14"/>
        <v>Apr</v>
      </c>
      <c r="J242" s="1" t="str">
        <f t="shared" si="15"/>
        <v>2024</v>
      </c>
      <c r="K242" t="s">
        <v>30</v>
      </c>
      <c r="L242" t="s">
        <v>396</v>
      </c>
    </row>
    <row r="243" spans="1:12" x14ac:dyDescent="0.25">
      <c r="A243" t="s">
        <v>454</v>
      </c>
      <c r="B243" t="str">
        <f t="shared" si="12"/>
        <v>Identified</v>
      </c>
      <c r="C243" t="s">
        <v>57</v>
      </c>
      <c r="D243" t="s">
        <v>59</v>
      </c>
      <c r="E243">
        <v>47</v>
      </c>
      <c r="F243">
        <v>287229.48</v>
      </c>
      <c r="G243">
        <f t="shared" si="13"/>
        <v>13499785.559999999</v>
      </c>
      <c r="H243" s="1">
        <v>45299</v>
      </c>
      <c r="I243" s="1" t="str">
        <f t="shared" si="14"/>
        <v>Jan</v>
      </c>
      <c r="J243" s="1" t="str">
        <f t="shared" si="15"/>
        <v>2024</v>
      </c>
      <c r="K243" t="s">
        <v>15</v>
      </c>
      <c r="L243" t="s">
        <v>455</v>
      </c>
    </row>
    <row r="244" spans="1:12" x14ac:dyDescent="0.25">
      <c r="A244" t="s">
        <v>171</v>
      </c>
      <c r="B244" t="str">
        <f t="shared" si="12"/>
        <v>Identified</v>
      </c>
      <c r="C244" t="s">
        <v>83</v>
      </c>
      <c r="D244" t="s">
        <v>25</v>
      </c>
      <c r="E244">
        <v>47</v>
      </c>
      <c r="F244">
        <v>202922.64</v>
      </c>
      <c r="G244">
        <f t="shared" si="13"/>
        <v>9537364.0800000001</v>
      </c>
      <c r="H244" s="1">
        <v>45217</v>
      </c>
      <c r="I244" s="1" t="str">
        <f t="shared" si="14"/>
        <v>Oct</v>
      </c>
      <c r="J244" s="1" t="str">
        <f t="shared" si="15"/>
        <v>2023</v>
      </c>
      <c r="K244" t="s">
        <v>30</v>
      </c>
      <c r="L244" t="s">
        <v>173</v>
      </c>
    </row>
    <row r="245" spans="1:12" x14ac:dyDescent="0.25">
      <c r="A245" t="s">
        <v>142</v>
      </c>
      <c r="B245" t="str">
        <f t="shared" si="12"/>
        <v>Identified</v>
      </c>
      <c r="C245" t="s">
        <v>143</v>
      </c>
      <c r="D245" t="s">
        <v>59</v>
      </c>
      <c r="E245">
        <v>47</v>
      </c>
      <c r="F245">
        <v>156399.29999999999</v>
      </c>
      <c r="G245">
        <f t="shared" si="13"/>
        <v>7350767.0999999996</v>
      </c>
      <c r="H245" s="1">
        <v>45715</v>
      </c>
      <c r="I245" s="1" t="str">
        <f t="shared" si="14"/>
        <v>Feb</v>
      </c>
      <c r="J245" s="1" t="str">
        <f t="shared" si="15"/>
        <v>2025</v>
      </c>
      <c r="K245" t="s">
        <v>11</v>
      </c>
      <c r="L245" t="s">
        <v>144</v>
      </c>
    </row>
    <row r="246" spans="1:12" x14ac:dyDescent="0.25">
      <c r="A246" t="s">
        <v>247</v>
      </c>
      <c r="B246" t="str">
        <f t="shared" si="12"/>
        <v>Identified</v>
      </c>
      <c r="C246" t="s">
        <v>36</v>
      </c>
      <c r="D246" t="s">
        <v>25</v>
      </c>
      <c r="E246">
        <v>47</v>
      </c>
      <c r="F246">
        <v>248471.54</v>
      </c>
      <c r="G246">
        <f t="shared" si="13"/>
        <v>11678162.380000001</v>
      </c>
      <c r="H246" s="1">
        <v>45215</v>
      </c>
      <c r="I246" s="1" t="str">
        <f t="shared" si="14"/>
        <v>Oct</v>
      </c>
      <c r="J246" s="1" t="str">
        <f t="shared" si="15"/>
        <v>2023</v>
      </c>
      <c r="K246" t="s">
        <v>30</v>
      </c>
      <c r="L246" t="s">
        <v>248</v>
      </c>
    </row>
    <row r="247" spans="1:12" x14ac:dyDescent="0.25">
      <c r="A247" t="s">
        <v>659</v>
      </c>
      <c r="B247" t="str">
        <f t="shared" si="12"/>
        <v>Identified</v>
      </c>
      <c r="C247" t="s">
        <v>13</v>
      </c>
      <c r="D247" t="s">
        <v>19</v>
      </c>
      <c r="E247">
        <v>47</v>
      </c>
      <c r="F247">
        <v>155709.06</v>
      </c>
      <c r="G247">
        <f t="shared" si="13"/>
        <v>7318325.8200000003</v>
      </c>
      <c r="H247" s="1">
        <v>45962</v>
      </c>
      <c r="I247" s="1" t="str">
        <f t="shared" si="14"/>
        <v>Nov</v>
      </c>
      <c r="J247" s="1" t="str">
        <f t="shared" si="15"/>
        <v>2025</v>
      </c>
      <c r="K247" t="s">
        <v>51</v>
      </c>
      <c r="L247" t="s">
        <v>660</v>
      </c>
    </row>
    <row r="248" spans="1:12" x14ac:dyDescent="0.25">
      <c r="A248" t="s">
        <v>713</v>
      </c>
      <c r="B248" t="str">
        <f t="shared" si="12"/>
        <v>Identified</v>
      </c>
      <c r="C248" t="s">
        <v>33</v>
      </c>
      <c r="D248" t="s">
        <v>25</v>
      </c>
      <c r="E248">
        <v>47</v>
      </c>
      <c r="F248">
        <v>157576.69</v>
      </c>
      <c r="G248">
        <f t="shared" si="13"/>
        <v>7406104.4299999997</v>
      </c>
      <c r="H248" s="1">
        <v>45678</v>
      </c>
      <c r="I248" s="1" t="str">
        <f t="shared" si="14"/>
        <v>Jan</v>
      </c>
      <c r="J248" s="1" t="str">
        <f t="shared" si="15"/>
        <v>2025</v>
      </c>
      <c r="K248" t="s">
        <v>11</v>
      </c>
      <c r="L248" t="s">
        <v>714</v>
      </c>
    </row>
    <row r="249" spans="1:12" x14ac:dyDescent="0.25">
      <c r="A249" t="s">
        <v>1091</v>
      </c>
      <c r="B249" t="str">
        <f t="shared" si="12"/>
        <v>Identified</v>
      </c>
      <c r="C249" t="s">
        <v>28</v>
      </c>
      <c r="D249" t="s">
        <v>76</v>
      </c>
      <c r="E249">
        <v>47</v>
      </c>
      <c r="F249">
        <v>255203.07</v>
      </c>
      <c r="G249">
        <f t="shared" si="13"/>
        <v>11994544.290000001</v>
      </c>
      <c r="H249" s="1">
        <v>45679</v>
      </c>
      <c r="I249" s="1" t="str">
        <f t="shared" si="14"/>
        <v>Jan</v>
      </c>
      <c r="J249" s="1" t="str">
        <f t="shared" si="15"/>
        <v>2025</v>
      </c>
      <c r="K249" t="s">
        <v>15</v>
      </c>
      <c r="L249" t="s">
        <v>1042</v>
      </c>
    </row>
    <row r="250" spans="1:12" x14ac:dyDescent="0.25">
      <c r="A250" t="s">
        <v>613</v>
      </c>
      <c r="B250" t="str">
        <f t="shared" si="12"/>
        <v>Identified</v>
      </c>
      <c r="C250" t="s">
        <v>115</v>
      </c>
      <c r="D250" t="s">
        <v>14</v>
      </c>
      <c r="E250">
        <v>48</v>
      </c>
      <c r="F250">
        <v>127526.34</v>
      </c>
      <c r="G250">
        <f t="shared" si="13"/>
        <v>6121264.3200000003</v>
      </c>
      <c r="H250" s="1">
        <v>45633</v>
      </c>
      <c r="I250" s="1" t="str">
        <f t="shared" si="14"/>
        <v>Dec</v>
      </c>
      <c r="J250" s="1" t="str">
        <f t="shared" si="15"/>
        <v>2024</v>
      </c>
      <c r="K250" t="s">
        <v>51</v>
      </c>
      <c r="L250" t="s">
        <v>614</v>
      </c>
    </row>
    <row r="251" spans="1:12" x14ac:dyDescent="0.25">
      <c r="A251" t="s">
        <v>437</v>
      </c>
      <c r="B251" t="str">
        <f t="shared" si="12"/>
        <v>Identified</v>
      </c>
      <c r="C251" t="s">
        <v>22</v>
      </c>
      <c r="D251" t="s">
        <v>25</v>
      </c>
      <c r="E251">
        <v>47</v>
      </c>
      <c r="F251">
        <v>276970.25</v>
      </c>
      <c r="G251">
        <f t="shared" si="13"/>
        <v>13017601.75</v>
      </c>
      <c r="H251" s="1">
        <v>45692</v>
      </c>
      <c r="I251" s="1" t="str">
        <f t="shared" si="14"/>
        <v>Feb</v>
      </c>
      <c r="J251" s="1" t="str">
        <f t="shared" si="15"/>
        <v>2025</v>
      </c>
      <c r="K251" t="s">
        <v>30</v>
      </c>
      <c r="L251" t="s">
        <v>438</v>
      </c>
    </row>
    <row r="252" spans="1:12" x14ac:dyDescent="0.25">
      <c r="A252" t="s">
        <v>733</v>
      </c>
      <c r="B252" t="str">
        <f t="shared" si="12"/>
        <v>Identified</v>
      </c>
      <c r="C252" t="s">
        <v>230</v>
      </c>
      <c r="D252" t="s">
        <v>25</v>
      </c>
      <c r="E252">
        <v>47</v>
      </c>
      <c r="F252">
        <v>155709.06</v>
      </c>
      <c r="G252">
        <f t="shared" si="13"/>
        <v>7318325.8200000003</v>
      </c>
      <c r="H252" s="1">
        <v>45296</v>
      </c>
      <c r="I252" s="1" t="str">
        <f t="shared" si="14"/>
        <v>Jan</v>
      </c>
      <c r="J252" s="1" t="str">
        <f t="shared" si="15"/>
        <v>2024</v>
      </c>
      <c r="K252" t="s">
        <v>51</v>
      </c>
      <c r="L252" t="s">
        <v>734</v>
      </c>
    </row>
    <row r="253" spans="1:12" x14ac:dyDescent="0.25">
      <c r="A253" t="s">
        <v>699</v>
      </c>
      <c r="B253" t="str">
        <f t="shared" si="12"/>
        <v>Identified</v>
      </c>
      <c r="C253" t="s">
        <v>13</v>
      </c>
      <c r="D253" t="s">
        <v>29</v>
      </c>
      <c r="E253">
        <v>47</v>
      </c>
      <c r="F253">
        <v>52952.39</v>
      </c>
      <c r="G253">
        <f t="shared" si="13"/>
        <v>2488762.33</v>
      </c>
      <c r="H253" s="1">
        <v>45324</v>
      </c>
      <c r="I253" s="1" t="str">
        <f t="shared" si="14"/>
        <v>Feb</v>
      </c>
      <c r="J253" s="1" t="str">
        <f t="shared" si="15"/>
        <v>2024</v>
      </c>
      <c r="K253" t="s">
        <v>15</v>
      </c>
      <c r="L253" t="s">
        <v>700</v>
      </c>
    </row>
    <row r="254" spans="1:12" x14ac:dyDescent="0.25">
      <c r="A254" t="s">
        <v>195</v>
      </c>
      <c r="B254" t="str">
        <f t="shared" si="12"/>
        <v>Identified</v>
      </c>
      <c r="C254" t="s">
        <v>93</v>
      </c>
      <c r="D254" t="s">
        <v>19</v>
      </c>
      <c r="E254">
        <v>47</v>
      </c>
      <c r="F254">
        <v>231466.69</v>
      </c>
      <c r="G254">
        <f t="shared" si="13"/>
        <v>10878934.43</v>
      </c>
      <c r="H254" s="1">
        <v>45825</v>
      </c>
      <c r="I254" s="1" t="str">
        <f t="shared" si="14"/>
        <v>Jun</v>
      </c>
      <c r="J254" s="1" t="str">
        <f t="shared" si="15"/>
        <v>2025</v>
      </c>
      <c r="K254" t="s">
        <v>51</v>
      </c>
      <c r="L254" t="s">
        <v>196</v>
      </c>
    </row>
    <row r="255" spans="1:12" x14ac:dyDescent="0.25">
      <c r="A255" t="s">
        <v>999</v>
      </c>
      <c r="B255" t="str">
        <f t="shared" si="12"/>
        <v>Identified</v>
      </c>
      <c r="C255" t="s">
        <v>62</v>
      </c>
      <c r="D255" t="s">
        <v>14</v>
      </c>
      <c r="E255">
        <v>47</v>
      </c>
      <c r="F255">
        <v>191206.05</v>
      </c>
      <c r="G255">
        <f t="shared" si="13"/>
        <v>8986684.3499999996</v>
      </c>
      <c r="H255" s="1">
        <v>45434</v>
      </c>
      <c r="I255" s="1" t="str">
        <f t="shared" si="14"/>
        <v>May</v>
      </c>
      <c r="J255" s="1" t="str">
        <f t="shared" si="15"/>
        <v>2024</v>
      </c>
      <c r="K255" t="s">
        <v>30</v>
      </c>
      <c r="L255" t="s">
        <v>1000</v>
      </c>
    </row>
    <row r="256" spans="1:12" x14ac:dyDescent="0.25">
      <c r="A256" t="s">
        <v>334</v>
      </c>
      <c r="B256" t="str">
        <f t="shared" si="12"/>
        <v>Identified</v>
      </c>
      <c r="C256" t="s">
        <v>57</v>
      </c>
      <c r="D256" t="s">
        <v>59</v>
      </c>
      <c r="E256">
        <v>46</v>
      </c>
      <c r="F256">
        <v>224826.46</v>
      </c>
      <c r="G256">
        <f t="shared" si="13"/>
        <v>10342017.16</v>
      </c>
      <c r="H256" s="1">
        <v>45616</v>
      </c>
      <c r="I256" s="1" t="str">
        <f t="shared" si="14"/>
        <v>Nov</v>
      </c>
      <c r="J256" s="1" t="str">
        <f t="shared" si="15"/>
        <v>2024</v>
      </c>
      <c r="K256" t="s">
        <v>11</v>
      </c>
      <c r="L256" t="s">
        <v>335</v>
      </c>
    </row>
    <row r="257" spans="1:12" x14ac:dyDescent="0.25">
      <c r="A257" t="s">
        <v>564</v>
      </c>
      <c r="B257" t="str">
        <f t="shared" si="12"/>
        <v>Identified</v>
      </c>
      <c r="C257" t="s">
        <v>36</v>
      </c>
      <c r="D257" t="s">
        <v>14</v>
      </c>
      <c r="E257">
        <v>47</v>
      </c>
      <c r="F257">
        <v>192636.74</v>
      </c>
      <c r="G257">
        <f t="shared" si="13"/>
        <v>9053926.7799999993</v>
      </c>
      <c r="H257" s="1">
        <v>45646</v>
      </c>
      <c r="I257" s="1" t="str">
        <f t="shared" si="14"/>
        <v>Dec</v>
      </c>
      <c r="J257" s="1" t="str">
        <f t="shared" si="15"/>
        <v>2024</v>
      </c>
      <c r="K257" t="s">
        <v>30</v>
      </c>
      <c r="L257" t="s">
        <v>565</v>
      </c>
    </row>
    <row r="258" spans="1:12" x14ac:dyDescent="0.25">
      <c r="A258" t="s">
        <v>473</v>
      </c>
      <c r="B258" t="str">
        <f t="shared" ref="B258:B321" si="16">IF(A258="Unknown","Unidentified","Identified")</f>
        <v>Identified</v>
      </c>
      <c r="C258" t="s">
        <v>57</v>
      </c>
      <c r="D258" t="s">
        <v>50</v>
      </c>
      <c r="E258">
        <v>47</v>
      </c>
      <c r="F258">
        <v>155709.06</v>
      </c>
      <c r="G258">
        <f t="shared" ref="G258:G321" si="17">F258*E258</f>
        <v>7318325.8200000003</v>
      </c>
      <c r="H258" s="1">
        <v>45601</v>
      </c>
      <c r="I258" s="1" t="str">
        <f t="shared" ref="I258:I321" si="18">TEXT(H258,"MMM")</f>
        <v>Nov</v>
      </c>
      <c r="J258" s="1" t="str">
        <f t="shared" ref="J258:J321" si="19">TEXT(H258,"YYYY")</f>
        <v>2024</v>
      </c>
      <c r="K258" t="s">
        <v>51</v>
      </c>
      <c r="L258" t="s">
        <v>474</v>
      </c>
    </row>
    <row r="259" spans="1:12" x14ac:dyDescent="0.25">
      <c r="A259" t="s">
        <v>640</v>
      </c>
      <c r="B259" t="str">
        <f t="shared" si="16"/>
        <v>Identified</v>
      </c>
      <c r="C259" t="s">
        <v>57</v>
      </c>
      <c r="D259" t="s">
        <v>76</v>
      </c>
      <c r="E259">
        <v>47</v>
      </c>
      <c r="F259">
        <v>155709.06</v>
      </c>
      <c r="G259">
        <f t="shared" si="17"/>
        <v>7318325.8200000003</v>
      </c>
      <c r="H259" s="1">
        <v>45749</v>
      </c>
      <c r="I259" s="1" t="str">
        <f t="shared" si="18"/>
        <v>Apr</v>
      </c>
      <c r="J259" s="1" t="str">
        <f t="shared" si="19"/>
        <v>2025</v>
      </c>
      <c r="K259" t="s">
        <v>51</v>
      </c>
      <c r="L259" t="s">
        <v>641</v>
      </c>
    </row>
    <row r="260" spans="1:12" x14ac:dyDescent="0.25">
      <c r="A260" t="s">
        <v>148</v>
      </c>
      <c r="B260" t="str">
        <f t="shared" si="16"/>
        <v>Identified</v>
      </c>
      <c r="C260" t="s">
        <v>87</v>
      </c>
      <c r="D260" t="s">
        <v>19</v>
      </c>
      <c r="E260">
        <v>47</v>
      </c>
      <c r="F260">
        <v>211879.67999999999</v>
      </c>
      <c r="G260">
        <f t="shared" si="17"/>
        <v>9958344.959999999</v>
      </c>
      <c r="H260" s="1">
        <v>45564</v>
      </c>
      <c r="I260" s="1" t="str">
        <f t="shared" si="18"/>
        <v>Sep</v>
      </c>
      <c r="J260" s="1" t="str">
        <f t="shared" si="19"/>
        <v>2024</v>
      </c>
      <c r="K260" t="s">
        <v>30</v>
      </c>
      <c r="L260" t="s">
        <v>149</v>
      </c>
    </row>
    <row r="261" spans="1:12" x14ac:dyDescent="0.25">
      <c r="A261" t="s">
        <v>409</v>
      </c>
      <c r="B261" t="str">
        <f t="shared" si="16"/>
        <v>Identified</v>
      </c>
      <c r="C261" t="s">
        <v>83</v>
      </c>
      <c r="D261" t="s">
        <v>19</v>
      </c>
      <c r="E261">
        <v>47</v>
      </c>
      <c r="F261">
        <v>115380.53</v>
      </c>
      <c r="G261">
        <f t="shared" si="17"/>
        <v>5422884.9100000001</v>
      </c>
      <c r="H261" s="1">
        <v>45353</v>
      </c>
      <c r="I261" s="1" t="str">
        <f t="shared" si="18"/>
        <v>Mar</v>
      </c>
      <c r="J261" s="1" t="str">
        <f t="shared" si="19"/>
        <v>2024</v>
      </c>
      <c r="K261" t="s">
        <v>30</v>
      </c>
      <c r="L261" t="s">
        <v>410</v>
      </c>
    </row>
    <row r="262" spans="1:12" x14ac:dyDescent="0.25">
      <c r="A262" t="s">
        <v>377</v>
      </c>
      <c r="B262" t="str">
        <f t="shared" si="16"/>
        <v>Identified</v>
      </c>
      <c r="C262" t="s">
        <v>28</v>
      </c>
      <c r="D262" t="s">
        <v>19</v>
      </c>
      <c r="E262">
        <v>82</v>
      </c>
      <c r="F262">
        <v>155709.06</v>
      </c>
      <c r="G262">
        <f t="shared" si="17"/>
        <v>12768142.92</v>
      </c>
      <c r="H262" s="1">
        <v>45935</v>
      </c>
      <c r="I262" s="1" t="str">
        <f t="shared" si="18"/>
        <v>Oct</v>
      </c>
      <c r="J262" s="1" t="str">
        <f t="shared" si="19"/>
        <v>2025</v>
      </c>
      <c r="K262" t="s">
        <v>15</v>
      </c>
      <c r="L262" t="s">
        <v>378</v>
      </c>
    </row>
    <row r="263" spans="1:12" x14ac:dyDescent="0.25">
      <c r="A263" t="s">
        <v>600</v>
      </c>
      <c r="B263" t="str">
        <f t="shared" si="16"/>
        <v>Identified</v>
      </c>
      <c r="C263" t="s">
        <v>62</v>
      </c>
      <c r="D263" t="s">
        <v>98</v>
      </c>
      <c r="E263">
        <v>47</v>
      </c>
      <c r="F263">
        <v>293627.95</v>
      </c>
      <c r="G263">
        <f t="shared" si="17"/>
        <v>13800513.65</v>
      </c>
      <c r="H263" s="1">
        <v>45238</v>
      </c>
      <c r="I263" s="1" t="str">
        <f t="shared" si="18"/>
        <v>Nov</v>
      </c>
      <c r="J263" s="1" t="str">
        <f t="shared" si="19"/>
        <v>2023</v>
      </c>
      <c r="K263" t="s">
        <v>51</v>
      </c>
      <c r="L263" t="s">
        <v>601</v>
      </c>
    </row>
    <row r="264" spans="1:12" x14ac:dyDescent="0.25">
      <c r="A264" t="s">
        <v>617</v>
      </c>
      <c r="B264" t="str">
        <f t="shared" si="16"/>
        <v>Identified</v>
      </c>
      <c r="C264" t="s">
        <v>87</v>
      </c>
      <c r="D264" t="s">
        <v>19</v>
      </c>
      <c r="E264">
        <v>48</v>
      </c>
      <c r="F264">
        <v>69284.39</v>
      </c>
      <c r="G264">
        <f t="shared" si="17"/>
        <v>3325650.7199999997</v>
      </c>
      <c r="H264" s="1">
        <v>45472</v>
      </c>
      <c r="I264" s="1" t="str">
        <f t="shared" si="18"/>
        <v>Jun</v>
      </c>
      <c r="J264" s="1" t="str">
        <f t="shared" si="19"/>
        <v>2024</v>
      </c>
      <c r="K264" t="s">
        <v>51</v>
      </c>
      <c r="L264" t="s">
        <v>618</v>
      </c>
    </row>
    <row r="265" spans="1:12" x14ac:dyDescent="0.25">
      <c r="A265" t="s">
        <v>354</v>
      </c>
      <c r="B265" t="str">
        <f t="shared" si="16"/>
        <v>Identified</v>
      </c>
      <c r="C265" t="s">
        <v>33</v>
      </c>
      <c r="D265" t="s">
        <v>29</v>
      </c>
      <c r="E265">
        <v>47</v>
      </c>
      <c r="F265">
        <v>157533.4</v>
      </c>
      <c r="G265">
        <f t="shared" si="17"/>
        <v>7404069.7999999998</v>
      </c>
      <c r="H265" s="1">
        <v>45652</v>
      </c>
      <c r="I265" s="1" t="str">
        <f t="shared" si="18"/>
        <v>Dec</v>
      </c>
      <c r="J265" s="1" t="str">
        <f t="shared" si="19"/>
        <v>2024</v>
      </c>
      <c r="K265" t="s">
        <v>15</v>
      </c>
      <c r="L265" t="s">
        <v>355</v>
      </c>
    </row>
    <row r="266" spans="1:12" x14ac:dyDescent="0.25">
      <c r="A266" t="s">
        <v>1025</v>
      </c>
      <c r="B266" t="str">
        <f t="shared" si="16"/>
        <v>Identified</v>
      </c>
      <c r="C266" t="s">
        <v>39</v>
      </c>
      <c r="D266" t="s">
        <v>50</v>
      </c>
      <c r="E266">
        <v>46</v>
      </c>
      <c r="F266">
        <v>170251.85</v>
      </c>
      <c r="G266">
        <f t="shared" si="17"/>
        <v>7831585.1000000006</v>
      </c>
      <c r="H266" s="1">
        <v>45163</v>
      </c>
      <c r="I266" s="1" t="str">
        <f t="shared" si="18"/>
        <v>Aug</v>
      </c>
      <c r="J266" s="1" t="str">
        <f t="shared" si="19"/>
        <v>2023</v>
      </c>
      <c r="K266" t="s">
        <v>15</v>
      </c>
      <c r="L266" t="s">
        <v>1026</v>
      </c>
    </row>
    <row r="267" spans="1:12" x14ac:dyDescent="0.25">
      <c r="A267" t="s">
        <v>92</v>
      </c>
      <c r="B267" t="str">
        <f t="shared" si="16"/>
        <v>Identified</v>
      </c>
      <c r="C267" t="s">
        <v>93</v>
      </c>
      <c r="D267" t="s">
        <v>19</v>
      </c>
      <c r="E267">
        <v>47</v>
      </c>
      <c r="F267">
        <v>173753.06</v>
      </c>
      <c r="G267">
        <f t="shared" si="17"/>
        <v>8166393.8200000003</v>
      </c>
      <c r="H267" s="1">
        <v>45731</v>
      </c>
      <c r="I267" s="1" t="str">
        <f t="shared" si="18"/>
        <v>Mar</v>
      </c>
      <c r="J267" s="1" t="str">
        <f t="shared" si="19"/>
        <v>2025</v>
      </c>
      <c r="K267" t="s">
        <v>51</v>
      </c>
      <c r="L267" t="s">
        <v>1087</v>
      </c>
    </row>
    <row r="268" spans="1:12" x14ac:dyDescent="0.25">
      <c r="A268" t="s">
        <v>286</v>
      </c>
      <c r="B268" t="str">
        <f t="shared" si="16"/>
        <v>Identified</v>
      </c>
      <c r="C268" t="s">
        <v>115</v>
      </c>
      <c r="D268" t="s">
        <v>59</v>
      </c>
      <c r="E268">
        <v>47</v>
      </c>
      <c r="F268">
        <v>47803.35</v>
      </c>
      <c r="G268">
        <f t="shared" si="17"/>
        <v>2246757.4499999997</v>
      </c>
      <c r="H268" s="1">
        <v>45835</v>
      </c>
      <c r="I268" s="1" t="str">
        <f t="shared" si="18"/>
        <v>Jun</v>
      </c>
      <c r="J268" s="1" t="str">
        <f t="shared" si="19"/>
        <v>2025</v>
      </c>
      <c r="K268" t="s">
        <v>15</v>
      </c>
      <c r="L268" t="s">
        <v>287</v>
      </c>
    </row>
    <row r="269" spans="1:12" x14ac:dyDescent="0.25">
      <c r="A269" t="s">
        <v>895</v>
      </c>
      <c r="B269" t="str">
        <f t="shared" si="16"/>
        <v>Identified</v>
      </c>
      <c r="C269" t="s">
        <v>46</v>
      </c>
      <c r="D269" t="s">
        <v>25</v>
      </c>
      <c r="E269">
        <v>83</v>
      </c>
      <c r="F269">
        <v>157421.35</v>
      </c>
      <c r="G269">
        <f t="shared" si="17"/>
        <v>13065972.050000001</v>
      </c>
      <c r="H269" s="1">
        <v>45783</v>
      </c>
      <c r="I269" s="1" t="str">
        <f t="shared" si="18"/>
        <v>May</v>
      </c>
      <c r="J269" s="1" t="str">
        <f t="shared" si="19"/>
        <v>2025</v>
      </c>
      <c r="K269" t="s">
        <v>15</v>
      </c>
      <c r="L269" t="s">
        <v>896</v>
      </c>
    </row>
    <row r="270" spans="1:12" x14ac:dyDescent="0.25">
      <c r="A270" t="s">
        <v>495</v>
      </c>
      <c r="B270" t="str">
        <f t="shared" si="16"/>
        <v>Identified</v>
      </c>
      <c r="C270" t="s">
        <v>97</v>
      </c>
      <c r="D270" t="s">
        <v>19</v>
      </c>
      <c r="E270">
        <v>47</v>
      </c>
      <c r="F270">
        <v>248717.83</v>
      </c>
      <c r="G270">
        <f t="shared" si="17"/>
        <v>11689738.01</v>
      </c>
      <c r="H270" s="1">
        <v>45803</v>
      </c>
      <c r="I270" s="1" t="str">
        <f t="shared" si="18"/>
        <v>May</v>
      </c>
      <c r="J270" s="1" t="str">
        <f t="shared" si="19"/>
        <v>2025</v>
      </c>
      <c r="K270" t="s">
        <v>51</v>
      </c>
      <c r="L270" t="s">
        <v>496</v>
      </c>
    </row>
    <row r="271" spans="1:12" x14ac:dyDescent="0.25">
      <c r="A271" t="s">
        <v>1021</v>
      </c>
      <c r="B271" t="str">
        <f t="shared" si="16"/>
        <v>Identified</v>
      </c>
      <c r="C271" t="s">
        <v>230</v>
      </c>
      <c r="D271" t="s">
        <v>76</v>
      </c>
      <c r="E271">
        <v>59</v>
      </c>
      <c r="F271">
        <v>270431.25</v>
      </c>
      <c r="G271">
        <f t="shared" si="17"/>
        <v>15955443.75</v>
      </c>
      <c r="H271" s="1">
        <v>45339</v>
      </c>
      <c r="I271" s="1" t="str">
        <f t="shared" si="18"/>
        <v>Feb</v>
      </c>
      <c r="J271" s="1" t="str">
        <f t="shared" si="19"/>
        <v>2024</v>
      </c>
      <c r="K271" t="s">
        <v>51</v>
      </c>
      <c r="L271" t="s">
        <v>1022</v>
      </c>
    </row>
    <row r="272" spans="1:12" x14ac:dyDescent="0.25">
      <c r="A272" t="s">
        <v>94</v>
      </c>
      <c r="B272" t="str">
        <f t="shared" si="16"/>
        <v>Identified</v>
      </c>
      <c r="C272" t="s">
        <v>46</v>
      </c>
      <c r="D272" t="s">
        <v>76</v>
      </c>
      <c r="E272">
        <v>7</v>
      </c>
      <c r="F272">
        <v>68649.2</v>
      </c>
      <c r="G272">
        <f t="shared" si="17"/>
        <v>480544.39999999997</v>
      </c>
      <c r="H272" s="1">
        <v>45501</v>
      </c>
      <c r="I272" s="1" t="str">
        <f t="shared" si="18"/>
        <v>Jul</v>
      </c>
      <c r="J272" s="1" t="str">
        <f t="shared" si="19"/>
        <v>2024</v>
      </c>
      <c r="K272" t="s">
        <v>30</v>
      </c>
      <c r="L272" t="s">
        <v>95</v>
      </c>
    </row>
    <row r="273" spans="1:12" x14ac:dyDescent="0.25">
      <c r="A273" t="s">
        <v>504</v>
      </c>
      <c r="B273" t="str">
        <f t="shared" si="16"/>
        <v>Identified</v>
      </c>
      <c r="C273" t="s">
        <v>36</v>
      </c>
      <c r="D273" t="s">
        <v>50</v>
      </c>
      <c r="E273">
        <v>47</v>
      </c>
      <c r="F273">
        <v>256418.56</v>
      </c>
      <c r="G273">
        <f t="shared" si="17"/>
        <v>12051672.32</v>
      </c>
      <c r="H273" s="1">
        <v>45339</v>
      </c>
      <c r="I273" s="1" t="str">
        <f t="shared" si="18"/>
        <v>Feb</v>
      </c>
      <c r="J273" s="1" t="str">
        <f t="shared" si="19"/>
        <v>2024</v>
      </c>
      <c r="K273" t="s">
        <v>51</v>
      </c>
      <c r="L273" t="s">
        <v>505</v>
      </c>
    </row>
    <row r="274" spans="1:12" x14ac:dyDescent="0.25">
      <c r="A274" t="s">
        <v>447</v>
      </c>
      <c r="B274" t="str">
        <f t="shared" si="16"/>
        <v>Identified</v>
      </c>
      <c r="C274" t="s">
        <v>62</v>
      </c>
      <c r="D274" t="s">
        <v>25</v>
      </c>
      <c r="E274">
        <v>47</v>
      </c>
      <c r="F274">
        <v>282220.37</v>
      </c>
      <c r="G274">
        <f t="shared" si="17"/>
        <v>13264357.390000001</v>
      </c>
      <c r="H274" s="1">
        <v>45538</v>
      </c>
      <c r="I274" s="1" t="str">
        <f t="shared" si="18"/>
        <v>Sep</v>
      </c>
      <c r="J274" s="1" t="str">
        <f t="shared" si="19"/>
        <v>2024</v>
      </c>
      <c r="K274" t="s">
        <v>30</v>
      </c>
      <c r="L274" t="s">
        <v>449</v>
      </c>
    </row>
    <row r="275" spans="1:12" x14ac:dyDescent="0.25">
      <c r="A275" t="s">
        <v>829</v>
      </c>
      <c r="B275" t="str">
        <f t="shared" si="16"/>
        <v>Identified</v>
      </c>
      <c r="C275" t="s">
        <v>33</v>
      </c>
      <c r="D275" t="s">
        <v>25</v>
      </c>
      <c r="E275">
        <v>47</v>
      </c>
      <c r="F275">
        <v>228607.88</v>
      </c>
      <c r="G275">
        <f t="shared" si="17"/>
        <v>10744570.359999999</v>
      </c>
      <c r="H275" s="1">
        <v>45617</v>
      </c>
      <c r="I275" s="1" t="str">
        <f t="shared" si="18"/>
        <v>Nov</v>
      </c>
      <c r="J275" s="1" t="str">
        <f t="shared" si="19"/>
        <v>2024</v>
      </c>
      <c r="K275" t="s">
        <v>30</v>
      </c>
      <c r="L275" t="s">
        <v>830</v>
      </c>
    </row>
    <row r="276" spans="1:12" x14ac:dyDescent="0.25">
      <c r="A276" t="s">
        <v>1079</v>
      </c>
      <c r="B276" t="str">
        <f t="shared" si="16"/>
        <v>Identified</v>
      </c>
      <c r="C276" t="s">
        <v>62</v>
      </c>
      <c r="D276" t="s">
        <v>98</v>
      </c>
      <c r="E276">
        <v>47</v>
      </c>
      <c r="F276">
        <v>104084.92</v>
      </c>
      <c r="G276">
        <f t="shared" si="17"/>
        <v>4891991.24</v>
      </c>
      <c r="H276" s="1">
        <v>45795</v>
      </c>
      <c r="I276" s="1" t="str">
        <f t="shared" si="18"/>
        <v>May</v>
      </c>
      <c r="J276" s="1" t="str">
        <f t="shared" si="19"/>
        <v>2025</v>
      </c>
      <c r="K276" t="s">
        <v>51</v>
      </c>
      <c r="L276" t="s">
        <v>1080</v>
      </c>
    </row>
    <row r="277" spans="1:12" x14ac:dyDescent="0.25">
      <c r="A277" t="s">
        <v>493</v>
      </c>
      <c r="B277" t="str">
        <f t="shared" si="16"/>
        <v>Identified</v>
      </c>
      <c r="C277" t="s">
        <v>115</v>
      </c>
      <c r="D277" t="s">
        <v>19</v>
      </c>
      <c r="E277">
        <v>43</v>
      </c>
      <c r="F277">
        <v>34106.53</v>
      </c>
      <c r="G277">
        <f t="shared" si="17"/>
        <v>1466580.79</v>
      </c>
      <c r="H277" s="1">
        <v>45582</v>
      </c>
      <c r="I277" s="1" t="str">
        <f t="shared" si="18"/>
        <v>Oct</v>
      </c>
      <c r="J277" s="1" t="str">
        <f t="shared" si="19"/>
        <v>2024</v>
      </c>
      <c r="K277" t="s">
        <v>51</v>
      </c>
      <c r="L277" t="s">
        <v>494</v>
      </c>
    </row>
    <row r="278" spans="1:12" x14ac:dyDescent="0.25">
      <c r="A278" t="s">
        <v>583</v>
      </c>
      <c r="B278" t="str">
        <f t="shared" si="16"/>
        <v>Identified</v>
      </c>
      <c r="C278" t="s">
        <v>97</v>
      </c>
      <c r="D278" t="s">
        <v>19</v>
      </c>
      <c r="E278">
        <v>54</v>
      </c>
      <c r="F278">
        <v>289261.24</v>
      </c>
      <c r="G278">
        <f t="shared" si="17"/>
        <v>15620106.959999999</v>
      </c>
      <c r="H278" s="1">
        <v>45907</v>
      </c>
      <c r="I278" s="1" t="str">
        <f t="shared" si="18"/>
        <v>Sep</v>
      </c>
      <c r="J278" s="1" t="str">
        <f t="shared" si="19"/>
        <v>2025</v>
      </c>
      <c r="K278" t="s">
        <v>15</v>
      </c>
      <c r="L278" t="s">
        <v>585</v>
      </c>
    </row>
    <row r="279" spans="1:12" x14ac:dyDescent="0.25">
      <c r="A279" t="s">
        <v>876</v>
      </c>
      <c r="B279" t="str">
        <f t="shared" si="16"/>
        <v>Identified</v>
      </c>
      <c r="C279" t="s">
        <v>18</v>
      </c>
      <c r="D279" t="s">
        <v>29</v>
      </c>
      <c r="E279">
        <v>47</v>
      </c>
      <c r="F279">
        <v>138518.29</v>
      </c>
      <c r="G279">
        <f t="shared" si="17"/>
        <v>6510359.6300000008</v>
      </c>
      <c r="H279" s="1">
        <v>45784</v>
      </c>
      <c r="I279" s="1" t="str">
        <f t="shared" si="18"/>
        <v>May</v>
      </c>
      <c r="J279" s="1" t="str">
        <f t="shared" si="19"/>
        <v>2025</v>
      </c>
      <c r="K279" t="s">
        <v>30</v>
      </c>
      <c r="L279" t="s">
        <v>877</v>
      </c>
    </row>
    <row r="280" spans="1:12" x14ac:dyDescent="0.25">
      <c r="A280" t="s">
        <v>538</v>
      </c>
      <c r="B280" t="str">
        <f t="shared" si="16"/>
        <v>Identified</v>
      </c>
      <c r="C280" t="s">
        <v>46</v>
      </c>
      <c r="D280" t="s">
        <v>25</v>
      </c>
      <c r="E280">
        <v>47</v>
      </c>
      <c r="F280">
        <v>1403.13</v>
      </c>
      <c r="G280">
        <f t="shared" si="17"/>
        <v>65947.11</v>
      </c>
      <c r="H280" s="1">
        <v>45554</v>
      </c>
      <c r="I280" s="1" t="str">
        <f t="shared" si="18"/>
        <v>Sep</v>
      </c>
      <c r="J280" s="1" t="str">
        <f t="shared" si="19"/>
        <v>2024</v>
      </c>
      <c r="K280" t="s">
        <v>11</v>
      </c>
      <c r="L280" t="s">
        <v>539</v>
      </c>
    </row>
    <row r="281" spans="1:12" x14ac:dyDescent="0.25">
      <c r="A281" t="s">
        <v>360</v>
      </c>
      <c r="B281" t="str">
        <f t="shared" si="16"/>
        <v>Identified</v>
      </c>
      <c r="C281" t="s">
        <v>22</v>
      </c>
      <c r="D281" t="s">
        <v>19</v>
      </c>
      <c r="E281">
        <v>56</v>
      </c>
      <c r="F281">
        <v>40692.879999999997</v>
      </c>
      <c r="G281">
        <f t="shared" si="17"/>
        <v>2278801.2799999998</v>
      </c>
      <c r="H281" s="1">
        <v>45459</v>
      </c>
      <c r="I281" s="1" t="str">
        <f t="shared" si="18"/>
        <v>Jun</v>
      </c>
      <c r="J281" s="1" t="str">
        <f t="shared" si="19"/>
        <v>2024</v>
      </c>
      <c r="K281" t="s">
        <v>11</v>
      </c>
      <c r="L281" t="s">
        <v>361</v>
      </c>
    </row>
    <row r="282" spans="1:12" x14ac:dyDescent="0.25">
      <c r="A282" t="s">
        <v>1007</v>
      </c>
      <c r="B282" t="str">
        <f t="shared" si="16"/>
        <v>Identified</v>
      </c>
      <c r="C282" t="s">
        <v>143</v>
      </c>
      <c r="D282" t="s">
        <v>76</v>
      </c>
      <c r="E282">
        <v>41</v>
      </c>
      <c r="F282">
        <v>99715.55</v>
      </c>
      <c r="G282">
        <f t="shared" si="17"/>
        <v>4088337.5500000003</v>
      </c>
      <c r="H282" s="1">
        <v>45487</v>
      </c>
      <c r="I282" s="1" t="str">
        <f t="shared" si="18"/>
        <v>Jul</v>
      </c>
      <c r="J282" s="1" t="str">
        <f t="shared" si="19"/>
        <v>2024</v>
      </c>
      <c r="K282" t="s">
        <v>51</v>
      </c>
      <c r="L282" t="s">
        <v>1008</v>
      </c>
    </row>
    <row r="283" spans="1:12" x14ac:dyDescent="0.25">
      <c r="A283" t="s">
        <v>589</v>
      </c>
      <c r="B283" t="str">
        <f t="shared" si="16"/>
        <v>Identified</v>
      </c>
      <c r="C283" t="s">
        <v>87</v>
      </c>
      <c r="D283" t="s">
        <v>76</v>
      </c>
      <c r="E283">
        <v>47</v>
      </c>
      <c r="F283">
        <v>40330.449999999997</v>
      </c>
      <c r="G283">
        <f t="shared" si="17"/>
        <v>1895531.15</v>
      </c>
      <c r="H283" s="1">
        <v>45230</v>
      </c>
      <c r="I283" s="1" t="str">
        <f t="shared" si="18"/>
        <v>Oct</v>
      </c>
      <c r="J283" s="1" t="str">
        <f t="shared" si="19"/>
        <v>2023</v>
      </c>
      <c r="K283" t="s">
        <v>15</v>
      </c>
      <c r="L283" t="s">
        <v>590</v>
      </c>
    </row>
    <row r="284" spans="1:12" x14ac:dyDescent="0.25">
      <c r="A284" t="s">
        <v>757</v>
      </c>
      <c r="B284" t="str">
        <f t="shared" si="16"/>
        <v>Identified</v>
      </c>
      <c r="C284" t="s">
        <v>36</v>
      </c>
      <c r="D284" t="s">
        <v>76</v>
      </c>
      <c r="E284">
        <v>55</v>
      </c>
      <c r="F284">
        <v>160922.84</v>
      </c>
      <c r="G284">
        <f t="shared" si="17"/>
        <v>8850756.1999999993</v>
      </c>
      <c r="H284" s="1">
        <v>45443</v>
      </c>
      <c r="I284" s="1" t="str">
        <f t="shared" si="18"/>
        <v>May</v>
      </c>
      <c r="J284" s="1" t="str">
        <f t="shared" si="19"/>
        <v>2024</v>
      </c>
      <c r="K284" t="s">
        <v>30</v>
      </c>
      <c r="L284" t="s">
        <v>758</v>
      </c>
    </row>
    <row r="285" spans="1:12" x14ac:dyDescent="0.25">
      <c r="A285" t="s">
        <v>1028</v>
      </c>
      <c r="B285" t="str">
        <f t="shared" si="16"/>
        <v>Identified</v>
      </c>
      <c r="C285" t="s">
        <v>46</v>
      </c>
      <c r="D285" t="s">
        <v>19</v>
      </c>
      <c r="E285">
        <v>47</v>
      </c>
      <c r="F285">
        <v>277285.7</v>
      </c>
      <c r="G285">
        <f t="shared" si="17"/>
        <v>13032427.9</v>
      </c>
      <c r="H285" s="1">
        <v>45715</v>
      </c>
      <c r="I285" s="1" t="str">
        <f t="shared" si="18"/>
        <v>Feb</v>
      </c>
      <c r="J285" s="1" t="str">
        <f t="shared" si="19"/>
        <v>2025</v>
      </c>
      <c r="K285" t="s">
        <v>51</v>
      </c>
      <c r="L285" t="s">
        <v>1029</v>
      </c>
    </row>
    <row r="286" spans="1:12" x14ac:dyDescent="0.25">
      <c r="A286" t="s">
        <v>664</v>
      </c>
      <c r="B286" t="str">
        <f t="shared" si="16"/>
        <v>Identified</v>
      </c>
      <c r="C286" t="s">
        <v>87</v>
      </c>
      <c r="D286" t="s">
        <v>29</v>
      </c>
      <c r="E286">
        <v>47</v>
      </c>
      <c r="F286">
        <v>42470.6</v>
      </c>
      <c r="G286">
        <f t="shared" si="17"/>
        <v>1996118.2</v>
      </c>
      <c r="H286" s="1">
        <v>45486</v>
      </c>
      <c r="I286" s="1" t="str">
        <f t="shared" si="18"/>
        <v>Jul</v>
      </c>
      <c r="J286" s="1" t="str">
        <f t="shared" si="19"/>
        <v>2024</v>
      </c>
      <c r="K286" t="s">
        <v>11</v>
      </c>
      <c r="L286" t="s">
        <v>665</v>
      </c>
    </row>
    <row r="287" spans="1:12" x14ac:dyDescent="0.25">
      <c r="A287" t="s">
        <v>216</v>
      </c>
      <c r="B287" t="str">
        <f t="shared" si="16"/>
        <v>Identified</v>
      </c>
      <c r="C287" t="s">
        <v>115</v>
      </c>
      <c r="D287" t="s">
        <v>14</v>
      </c>
      <c r="E287">
        <v>65</v>
      </c>
      <c r="F287">
        <v>163185.67000000001</v>
      </c>
      <c r="G287">
        <f t="shared" si="17"/>
        <v>10607068.550000001</v>
      </c>
      <c r="H287" s="1">
        <v>45815</v>
      </c>
      <c r="I287" s="1" t="str">
        <f t="shared" si="18"/>
        <v>Jun</v>
      </c>
      <c r="J287" s="1" t="str">
        <f t="shared" si="19"/>
        <v>2025</v>
      </c>
      <c r="K287" t="s">
        <v>51</v>
      </c>
      <c r="L287" t="s">
        <v>217</v>
      </c>
    </row>
    <row r="288" spans="1:12" x14ac:dyDescent="0.25">
      <c r="A288" t="s">
        <v>991</v>
      </c>
      <c r="B288" t="str">
        <f t="shared" si="16"/>
        <v>Identified</v>
      </c>
      <c r="C288" t="s">
        <v>230</v>
      </c>
      <c r="D288" t="s">
        <v>59</v>
      </c>
      <c r="E288">
        <v>47</v>
      </c>
      <c r="F288">
        <v>121880.85</v>
      </c>
      <c r="G288">
        <f t="shared" si="17"/>
        <v>5728399.9500000002</v>
      </c>
      <c r="H288" s="1">
        <v>45122</v>
      </c>
      <c r="I288" s="1" t="str">
        <f t="shared" si="18"/>
        <v>Jul</v>
      </c>
      <c r="J288" s="1" t="str">
        <f t="shared" si="19"/>
        <v>2023</v>
      </c>
      <c r="K288" t="s">
        <v>15</v>
      </c>
      <c r="L288" t="s">
        <v>992</v>
      </c>
    </row>
    <row r="289" spans="1:12" x14ac:dyDescent="0.25">
      <c r="A289" t="s">
        <v>799</v>
      </c>
      <c r="B289" t="str">
        <f t="shared" si="16"/>
        <v>Identified</v>
      </c>
      <c r="C289" t="s">
        <v>119</v>
      </c>
      <c r="D289" t="s">
        <v>14</v>
      </c>
      <c r="E289">
        <v>17</v>
      </c>
      <c r="F289">
        <v>208840.07</v>
      </c>
      <c r="G289">
        <f t="shared" si="17"/>
        <v>3550281.19</v>
      </c>
      <c r="H289" s="1">
        <v>45489</v>
      </c>
      <c r="I289" s="1" t="str">
        <f t="shared" si="18"/>
        <v>Jul</v>
      </c>
      <c r="J289" s="1" t="str">
        <f t="shared" si="19"/>
        <v>2024</v>
      </c>
      <c r="K289" t="s">
        <v>30</v>
      </c>
      <c r="L289" t="s">
        <v>800</v>
      </c>
    </row>
    <row r="290" spans="1:12" x14ac:dyDescent="0.25">
      <c r="A290" t="s">
        <v>304</v>
      </c>
      <c r="B290" t="str">
        <f t="shared" si="16"/>
        <v>Identified</v>
      </c>
      <c r="C290" t="s">
        <v>97</v>
      </c>
      <c r="D290" t="s">
        <v>59</v>
      </c>
      <c r="E290">
        <v>47</v>
      </c>
      <c r="F290">
        <v>230733.14</v>
      </c>
      <c r="G290">
        <f t="shared" si="17"/>
        <v>10844457.58</v>
      </c>
      <c r="H290" s="1">
        <v>45565</v>
      </c>
      <c r="I290" s="1" t="str">
        <f t="shared" si="18"/>
        <v>Sep</v>
      </c>
      <c r="J290" s="1" t="str">
        <f t="shared" si="19"/>
        <v>2024</v>
      </c>
      <c r="K290" t="s">
        <v>11</v>
      </c>
      <c r="L290" t="s">
        <v>305</v>
      </c>
    </row>
    <row r="291" spans="1:12" x14ac:dyDescent="0.25">
      <c r="A291" t="s">
        <v>1092</v>
      </c>
      <c r="B291" t="str">
        <f t="shared" si="16"/>
        <v>Identified</v>
      </c>
      <c r="C291" t="s">
        <v>119</v>
      </c>
      <c r="D291" t="s">
        <v>59</v>
      </c>
      <c r="E291">
        <v>47</v>
      </c>
      <c r="F291">
        <v>176481.31</v>
      </c>
      <c r="G291">
        <f t="shared" si="17"/>
        <v>8294621.5700000003</v>
      </c>
      <c r="H291" s="1">
        <v>45832</v>
      </c>
      <c r="I291" s="1" t="str">
        <f t="shared" si="18"/>
        <v>Jun</v>
      </c>
      <c r="J291" s="1" t="str">
        <f t="shared" si="19"/>
        <v>2025</v>
      </c>
      <c r="K291" t="s">
        <v>15</v>
      </c>
      <c r="L291" t="s">
        <v>774</v>
      </c>
    </row>
    <row r="292" spans="1:12" x14ac:dyDescent="0.25">
      <c r="A292" t="s">
        <v>679</v>
      </c>
      <c r="B292" t="str">
        <f t="shared" si="16"/>
        <v>Identified</v>
      </c>
      <c r="C292" t="s">
        <v>119</v>
      </c>
      <c r="D292" t="s">
        <v>25</v>
      </c>
      <c r="E292">
        <v>47</v>
      </c>
      <c r="F292">
        <v>245605.56</v>
      </c>
      <c r="G292">
        <f t="shared" si="17"/>
        <v>11543461.32</v>
      </c>
      <c r="H292" s="1">
        <v>45453</v>
      </c>
      <c r="I292" s="1" t="str">
        <f t="shared" si="18"/>
        <v>Jun</v>
      </c>
      <c r="J292" s="1" t="str">
        <f t="shared" si="19"/>
        <v>2024</v>
      </c>
      <c r="K292" t="s">
        <v>51</v>
      </c>
      <c r="L292" t="s">
        <v>680</v>
      </c>
    </row>
    <row r="293" spans="1:12" x14ac:dyDescent="0.25">
      <c r="A293" t="s">
        <v>553</v>
      </c>
      <c r="B293" t="str">
        <f t="shared" si="16"/>
        <v>Identified</v>
      </c>
      <c r="C293" t="s">
        <v>13</v>
      </c>
      <c r="D293" t="s">
        <v>29</v>
      </c>
      <c r="E293">
        <v>47</v>
      </c>
      <c r="F293">
        <v>268318.42</v>
      </c>
      <c r="G293">
        <f t="shared" si="17"/>
        <v>12610965.739999998</v>
      </c>
      <c r="H293" s="1">
        <v>45467</v>
      </c>
      <c r="I293" s="1" t="str">
        <f t="shared" si="18"/>
        <v>Jun</v>
      </c>
      <c r="J293" s="1" t="str">
        <f t="shared" si="19"/>
        <v>2024</v>
      </c>
      <c r="K293" t="s">
        <v>30</v>
      </c>
      <c r="L293" t="s">
        <v>554</v>
      </c>
    </row>
    <row r="294" spans="1:12" x14ac:dyDescent="0.25">
      <c r="A294" t="s">
        <v>685</v>
      </c>
      <c r="B294" t="str">
        <f t="shared" si="16"/>
        <v>Identified</v>
      </c>
      <c r="C294" t="s">
        <v>119</v>
      </c>
      <c r="D294" t="s">
        <v>50</v>
      </c>
      <c r="E294">
        <v>47</v>
      </c>
      <c r="F294">
        <v>295715.82</v>
      </c>
      <c r="G294">
        <f t="shared" si="17"/>
        <v>13898643.540000001</v>
      </c>
      <c r="H294" s="1">
        <v>45875</v>
      </c>
      <c r="I294" s="1" t="str">
        <f t="shared" si="18"/>
        <v>Aug</v>
      </c>
      <c r="J294" s="1" t="str">
        <f t="shared" si="19"/>
        <v>2025</v>
      </c>
      <c r="K294" t="s">
        <v>30</v>
      </c>
      <c r="L294" t="s">
        <v>686</v>
      </c>
    </row>
    <row r="295" spans="1:12" x14ac:dyDescent="0.25">
      <c r="A295" t="s">
        <v>602</v>
      </c>
      <c r="B295" t="str">
        <f t="shared" si="16"/>
        <v>Identified</v>
      </c>
      <c r="C295" t="s">
        <v>39</v>
      </c>
      <c r="D295" t="s">
        <v>25</v>
      </c>
      <c r="E295">
        <v>66</v>
      </c>
      <c r="F295">
        <v>250529.07</v>
      </c>
      <c r="G295">
        <f t="shared" si="17"/>
        <v>16534918.620000001</v>
      </c>
      <c r="H295" s="1">
        <v>45153</v>
      </c>
      <c r="I295" s="1" t="str">
        <f t="shared" si="18"/>
        <v>Aug</v>
      </c>
      <c r="J295" s="1" t="str">
        <f t="shared" si="19"/>
        <v>2023</v>
      </c>
      <c r="K295" t="s">
        <v>30</v>
      </c>
      <c r="L295" t="s">
        <v>603</v>
      </c>
    </row>
    <row r="296" spans="1:12" x14ac:dyDescent="0.25">
      <c r="A296" t="s">
        <v>566</v>
      </c>
      <c r="B296" t="str">
        <f t="shared" si="16"/>
        <v>Identified</v>
      </c>
      <c r="C296" t="s">
        <v>230</v>
      </c>
      <c r="D296" t="s">
        <v>25</v>
      </c>
      <c r="E296">
        <v>58</v>
      </c>
      <c r="F296">
        <v>155709.06</v>
      </c>
      <c r="G296">
        <f t="shared" si="17"/>
        <v>9031125.4800000004</v>
      </c>
      <c r="H296" s="1">
        <v>45592</v>
      </c>
      <c r="I296" s="1" t="str">
        <f t="shared" si="18"/>
        <v>Oct</v>
      </c>
      <c r="J296" s="1" t="str">
        <f t="shared" si="19"/>
        <v>2024</v>
      </c>
      <c r="K296" t="s">
        <v>51</v>
      </c>
      <c r="L296" t="s">
        <v>567</v>
      </c>
    </row>
    <row r="297" spans="1:12" x14ac:dyDescent="0.25">
      <c r="A297" t="s">
        <v>771</v>
      </c>
      <c r="B297" t="str">
        <f t="shared" si="16"/>
        <v>Identified</v>
      </c>
      <c r="C297" t="s">
        <v>49</v>
      </c>
      <c r="D297" t="s">
        <v>98</v>
      </c>
      <c r="E297">
        <v>47</v>
      </c>
      <c r="F297">
        <v>241492.86</v>
      </c>
      <c r="G297">
        <f t="shared" si="17"/>
        <v>11350164.42</v>
      </c>
      <c r="H297" s="1">
        <v>45592</v>
      </c>
      <c r="I297" s="1" t="str">
        <f t="shared" si="18"/>
        <v>Oct</v>
      </c>
      <c r="J297" s="1" t="str">
        <f t="shared" si="19"/>
        <v>2024</v>
      </c>
      <c r="K297" t="s">
        <v>30</v>
      </c>
      <c r="L297" t="s">
        <v>772</v>
      </c>
    </row>
    <row r="298" spans="1:12" x14ac:dyDescent="0.25">
      <c r="A298" t="s">
        <v>520</v>
      </c>
      <c r="B298" t="str">
        <f t="shared" si="16"/>
        <v>Identified</v>
      </c>
      <c r="C298" t="s">
        <v>39</v>
      </c>
      <c r="D298" t="s">
        <v>50</v>
      </c>
      <c r="E298">
        <v>47</v>
      </c>
      <c r="F298">
        <v>17162.919999999998</v>
      </c>
      <c r="G298">
        <f t="shared" si="17"/>
        <v>806657.23999999987</v>
      </c>
      <c r="H298" s="1">
        <v>45293</v>
      </c>
      <c r="I298" s="1" t="str">
        <f t="shared" si="18"/>
        <v>Jan</v>
      </c>
      <c r="J298" s="1" t="str">
        <f t="shared" si="19"/>
        <v>2024</v>
      </c>
      <c r="K298" t="s">
        <v>15</v>
      </c>
      <c r="L298" t="s">
        <v>521</v>
      </c>
    </row>
    <row r="299" spans="1:12" x14ac:dyDescent="0.25">
      <c r="A299" t="s">
        <v>560</v>
      </c>
      <c r="B299" t="str">
        <f t="shared" si="16"/>
        <v>Identified</v>
      </c>
      <c r="C299" t="s">
        <v>143</v>
      </c>
      <c r="D299" t="s">
        <v>50</v>
      </c>
      <c r="E299">
        <v>47</v>
      </c>
      <c r="F299">
        <v>54404.41</v>
      </c>
      <c r="G299">
        <f t="shared" si="17"/>
        <v>2557007.27</v>
      </c>
      <c r="H299" s="1">
        <v>45995</v>
      </c>
      <c r="I299" s="1" t="str">
        <f t="shared" si="18"/>
        <v>Dec</v>
      </c>
      <c r="J299" s="1" t="str">
        <f t="shared" si="19"/>
        <v>2025</v>
      </c>
      <c r="K299" t="s">
        <v>15</v>
      </c>
      <c r="L299" t="s">
        <v>561</v>
      </c>
    </row>
    <row r="300" spans="1:12" x14ac:dyDescent="0.25">
      <c r="A300" t="s">
        <v>579</v>
      </c>
      <c r="B300" t="str">
        <f t="shared" si="16"/>
        <v>Identified</v>
      </c>
      <c r="C300" t="s">
        <v>36</v>
      </c>
      <c r="D300" t="s">
        <v>25</v>
      </c>
      <c r="E300">
        <v>47</v>
      </c>
      <c r="F300">
        <v>113560.16</v>
      </c>
      <c r="G300">
        <f t="shared" si="17"/>
        <v>5337327.5200000005</v>
      </c>
      <c r="H300" s="1">
        <v>45381</v>
      </c>
      <c r="I300" s="1" t="str">
        <f t="shared" si="18"/>
        <v>Mar</v>
      </c>
      <c r="J300" s="1" t="str">
        <f t="shared" si="19"/>
        <v>2024</v>
      </c>
      <c r="K300" t="s">
        <v>11</v>
      </c>
      <c r="L300" t="s">
        <v>580</v>
      </c>
    </row>
    <row r="301" spans="1:12" x14ac:dyDescent="0.25">
      <c r="A301" t="s">
        <v>1049</v>
      </c>
      <c r="B301" t="str">
        <f t="shared" si="16"/>
        <v>Identified</v>
      </c>
      <c r="C301" t="s">
        <v>22</v>
      </c>
      <c r="D301" t="s">
        <v>98</v>
      </c>
      <c r="E301">
        <v>47</v>
      </c>
      <c r="F301">
        <v>155709.06</v>
      </c>
      <c r="G301">
        <f t="shared" si="17"/>
        <v>7318325.8200000003</v>
      </c>
      <c r="H301" s="1">
        <v>45827</v>
      </c>
      <c r="I301" s="1" t="str">
        <f t="shared" si="18"/>
        <v>Jun</v>
      </c>
      <c r="J301" s="1" t="str">
        <f t="shared" si="19"/>
        <v>2025</v>
      </c>
      <c r="K301" t="s">
        <v>30</v>
      </c>
      <c r="L301" t="s">
        <v>1050</v>
      </c>
    </row>
    <row r="302" spans="1:12" x14ac:dyDescent="0.25">
      <c r="A302" t="s">
        <v>302</v>
      </c>
      <c r="B302" t="str">
        <f t="shared" si="16"/>
        <v>Identified</v>
      </c>
      <c r="C302" t="s">
        <v>18</v>
      </c>
      <c r="D302" t="s">
        <v>25</v>
      </c>
      <c r="E302">
        <v>47</v>
      </c>
      <c r="F302">
        <v>18219.189999999999</v>
      </c>
      <c r="G302">
        <f t="shared" si="17"/>
        <v>856301.92999999993</v>
      </c>
      <c r="H302" s="1">
        <v>45716</v>
      </c>
      <c r="I302" s="1" t="str">
        <f t="shared" si="18"/>
        <v>Feb</v>
      </c>
      <c r="J302" s="1" t="str">
        <f t="shared" si="19"/>
        <v>2025</v>
      </c>
      <c r="K302" t="s">
        <v>30</v>
      </c>
      <c r="L302" t="s">
        <v>303</v>
      </c>
    </row>
    <row r="303" spans="1:12" x14ac:dyDescent="0.25">
      <c r="A303" t="s">
        <v>661</v>
      </c>
      <c r="B303" t="str">
        <f t="shared" si="16"/>
        <v>Identified</v>
      </c>
      <c r="C303" t="s">
        <v>83</v>
      </c>
      <c r="D303" t="s">
        <v>76</v>
      </c>
      <c r="E303">
        <v>47</v>
      </c>
      <c r="F303">
        <v>226438.52</v>
      </c>
      <c r="G303">
        <f t="shared" si="17"/>
        <v>10642610.439999999</v>
      </c>
      <c r="H303" s="1">
        <v>45555</v>
      </c>
      <c r="I303" s="1" t="str">
        <f t="shared" si="18"/>
        <v>Sep</v>
      </c>
      <c r="J303" s="1" t="str">
        <f t="shared" si="19"/>
        <v>2024</v>
      </c>
      <c r="K303" t="s">
        <v>11</v>
      </c>
      <c r="L303" t="s">
        <v>662</v>
      </c>
    </row>
    <row r="304" spans="1:12" x14ac:dyDescent="0.25">
      <c r="A304" t="s">
        <v>851</v>
      </c>
      <c r="B304" t="str">
        <f t="shared" si="16"/>
        <v>Identified</v>
      </c>
      <c r="C304" t="s">
        <v>57</v>
      </c>
      <c r="D304" t="s">
        <v>98</v>
      </c>
      <c r="E304">
        <v>47</v>
      </c>
      <c r="F304">
        <v>88910.09</v>
      </c>
      <c r="G304">
        <f t="shared" si="17"/>
        <v>4178774.23</v>
      </c>
      <c r="H304" s="1">
        <v>45349</v>
      </c>
      <c r="I304" s="1" t="str">
        <f t="shared" si="18"/>
        <v>Feb</v>
      </c>
      <c r="J304" s="1" t="str">
        <f t="shared" si="19"/>
        <v>2024</v>
      </c>
      <c r="K304" t="s">
        <v>15</v>
      </c>
      <c r="L304" t="s">
        <v>852</v>
      </c>
    </row>
    <row r="305" spans="1:12" x14ac:dyDescent="0.25">
      <c r="A305" t="s">
        <v>534</v>
      </c>
      <c r="B305" t="str">
        <f t="shared" si="16"/>
        <v>Identified</v>
      </c>
      <c r="C305" t="s">
        <v>22</v>
      </c>
      <c r="D305" t="s">
        <v>29</v>
      </c>
      <c r="E305">
        <v>47</v>
      </c>
      <c r="F305">
        <v>7020.25</v>
      </c>
      <c r="G305">
        <f t="shared" si="17"/>
        <v>329951.75</v>
      </c>
      <c r="H305" s="1">
        <v>45157</v>
      </c>
      <c r="I305" s="1" t="str">
        <f t="shared" si="18"/>
        <v>Aug</v>
      </c>
      <c r="J305" s="1" t="str">
        <f t="shared" si="19"/>
        <v>2023</v>
      </c>
      <c r="K305" t="s">
        <v>51</v>
      </c>
      <c r="L305" t="s">
        <v>535</v>
      </c>
    </row>
    <row r="306" spans="1:12" x14ac:dyDescent="0.25">
      <c r="A306" t="s">
        <v>701</v>
      </c>
      <c r="B306" t="str">
        <f t="shared" si="16"/>
        <v>Identified</v>
      </c>
      <c r="C306" t="s">
        <v>36</v>
      </c>
      <c r="D306" t="s">
        <v>50</v>
      </c>
      <c r="E306">
        <v>47</v>
      </c>
      <c r="F306">
        <v>203785.66</v>
      </c>
      <c r="G306">
        <f t="shared" si="17"/>
        <v>9577926.0199999996</v>
      </c>
      <c r="H306" s="1">
        <v>45303</v>
      </c>
      <c r="I306" s="1" t="str">
        <f t="shared" si="18"/>
        <v>Jan</v>
      </c>
      <c r="J306" s="1" t="str">
        <f t="shared" si="19"/>
        <v>2024</v>
      </c>
      <c r="K306" t="s">
        <v>30</v>
      </c>
      <c r="L306" t="s">
        <v>702</v>
      </c>
    </row>
    <row r="307" spans="1:12" x14ac:dyDescent="0.25">
      <c r="A307" t="s">
        <v>202</v>
      </c>
      <c r="B307" t="str">
        <f t="shared" si="16"/>
        <v>Identified</v>
      </c>
      <c r="C307" t="s">
        <v>36</v>
      </c>
      <c r="D307" t="s">
        <v>29</v>
      </c>
      <c r="E307">
        <v>47</v>
      </c>
      <c r="F307">
        <v>155623.85999999999</v>
      </c>
      <c r="G307">
        <f t="shared" si="17"/>
        <v>7314321.419999999</v>
      </c>
      <c r="H307" s="1">
        <v>45214</v>
      </c>
      <c r="I307" s="1" t="str">
        <f t="shared" si="18"/>
        <v>Oct</v>
      </c>
      <c r="J307" s="1" t="str">
        <f t="shared" si="19"/>
        <v>2023</v>
      </c>
      <c r="K307" t="s">
        <v>15</v>
      </c>
      <c r="L307" t="s">
        <v>203</v>
      </c>
    </row>
    <row r="308" spans="1:12" x14ac:dyDescent="0.25">
      <c r="A308" t="s">
        <v>792</v>
      </c>
      <c r="B308" t="str">
        <f t="shared" si="16"/>
        <v>Identified</v>
      </c>
      <c r="C308" t="s">
        <v>119</v>
      </c>
      <c r="D308" t="s">
        <v>19</v>
      </c>
      <c r="E308">
        <v>87</v>
      </c>
      <c r="F308">
        <v>222571.82</v>
      </c>
      <c r="G308">
        <f t="shared" si="17"/>
        <v>19363748.34</v>
      </c>
      <c r="H308" s="1">
        <v>45279</v>
      </c>
      <c r="I308" s="1" t="str">
        <f t="shared" si="18"/>
        <v>Dec</v>
      </c>
      <c r="J308" s="1" t="str">
        <f t="shared" si="19"/>
        <v>2023</v>
      </c>
      <c r="K308" t="s">
        <v>51</v>
      </c>
      <c r="L308" t="s">
        <v>1087</v>
      </c>
    </row>
    <row r="309" spans="1:12" x14ac:dyDescent="0.25">
      <c r="A309" t="s">
        <v>421</v>
      </c>
      <c r="B309" t="str">
        <f t="shared" si="16"/>
        <v>Identified</v>
      </c>
      <c r="C309" t="s">
        <v>13</v>
      </c>
      <c r="D309" t="s">
        <v>29</v>
      </c>
      <c r="E309">
        <v>47</v>
      </c>
      <c r="F309">
        <v>172076.77</v>
      </c>
      <c r="G309">
        <f t="shared" si="17"/>
        <v>8087608.1899999995</v>
      </c>
      <c r="H309" s="1">
        <v>45343</v>
      </c>
      <c r="I309" s="1" t="str">
        <f t="shared" si="18"/>
        <v>Feb</v>
      </c>
      <c r="J309" s="1" t="str">
        <f t="shared" si="19"/>
        <v>2024</v>
      </c>
      <c r="K309" t="s">
        <v>11</v>
      </c>
      <c r="L309" t="s">
        <v>422</v>
      </c>
    </row>
    <row r="310" spans="1:12" x14ac:dyDescent="0.25">
      <c r="A310" t="s">
        <v>1061</v>
      </c>
      <c r="B310" t="str">
        <f t="shared" si="16"/>
        <v>Identified</v>
      </c>
      <c r="C310" t="s">
        <v>33</v>
      </c>
      <c r="D310" t="s">
        <v>76</v>
      </c>
      <c r="E310">
        <v>16</v>
      </c>
      <c r="F310">
        <v>254908.01</v>
      </c>
      <c r="G310">
        <f t="shared" si="17"/>
        <v>4078528.16</v>
      </c>
      <c r="H310" s="1">
        <v>45784</v>
      </c>
      <c r="I310" s="1" t="str">
        <f t="shared" si="18"/>
        <v>May</v>
      </c>
      <c r="J310" s="1" t="str">
        <f t="shared" si="19"/>
        <v>2025</v>
      </c>
      <c r="K310" t="s">
        <v>30</v>
      </c>
      <c r="L310" t="s">
        <v>1062</v>
      </c>
    </row>
    <row r="311" spans="1:12" x14ac:dyDescent="0.25">
      <c r="A311" t="s">
        <v>735</v>
      </c>
      <c r="B311" t="str">
        <f t="shared" si="16"/>
        <v>Identified</v>
      </c>
      <c r="C311" t="s">
        <v>18</v>
      </c>
      <c r="D311" t="s">
        <v>76</v>
      </c>
      <c r="E311">
        <v>47</v>
      </c>
      <c r="F311">
        <v>139176.04</v>
      </c>
      <c r="G311">
        <f t="shared" si="17"/>
        <v>6541273.8800000008</v>
      </c>
      <c r="H311" s="1">
        <v>44968</v>
      </c>
      <c r="I311" s="1" t="str">
        <f t="shared" si="18"/>
        <v>Feb</v>
      </c>
      <c r="J311" s="1" t="str">
        <f t="shared" si="19"/>
        <v>2023</v>
      </c>
      <c r="K311" t="s">
        <v>30</v>
      </c>
      <c r="L311" t="s">
        <v>736</v>
      </c>
    </row>
    <row r="312" spans="1:12" x14ac:dyDescent="0.25">
      <c r="A312" t="s">
        <v>433</v>
      </c>
      <c r="B312" t="str">
        <f t="shared" si="16"/>
        <v>Identified</v>
      </c>
      <c r="C312" t="s">
        <v>39</v>
      </c>
      <c r="D312" t="s">
        <v>98</v>
      </c>
      <c r="E312">
        <v>83</v>
      </c>
      <c r="F312">
        <v>155709.06</v>
      </c>
      <c r="G312">
        <f t="shared" si="17"/>
        <v>12923851.98</v>
      </c>
      <c r="H312" s="1">
        <v>45936</v>
      </c>
      <c r="I312" s="1" t="str">
        <f t="shared" si="18"/>
        <v>Oct</v>
      </c>
      <c r="J312" s="1" t="str">
        <f t="shared" si="19"/>
        <v>2025</v>
      </c>
      <c r="K312" t="s">
        <v>15</v>
      </c>
      <c r="L312" t="s">
        <v>434</v>
      </c>
    </row>
    <row r="313" spans="1:12" x14ac:dyDescent="0.25">
      <c r="A313" t="s">
        <v>389</v>
      </c>
      <c r="B313" t="str">
        <f t="shared" si="16"/>
        <v>Identified</v>
      </c>
      <c r="C313" t="s">
        <v>62</v>
      </c>
      <c r="D313" t="s">
        <v>25</v>
      </c>
      <c r="E313">
        <v>47</v>
      </c>
      <c r="F313">
        <v>191798.38</v>
      </c>
      <c r="G313">
        <f t="shared" si="17"/>
        <v>9014523.8599999994</v>
      </c>
      <c r="H313" s="1">
        <v>45427</v>
      </c>
      <c r="I313" s="1" t="str">
        <f t="shared" si="18"/>
        <v>May</v>
      </c>
      <c r="J313" s="1" t="str">
        <f t="shared" si="19"/>
        <v>2024</v>
      </c>
      <c r="K313" t="s">
        <v>51</v>
      </c>
      <c r="L313" t="s">
        <v>390</v>
      </c>
    </row>
    <row r="314" spans="1:12" x14ac:dyDescent="0.25">
      <c r="A314" t="s">
        <v>645</v>
      </c>
      <c r="B314" t="str">
        <f t="shared" si="16"/>
        <v>Identified</v>
      </c>
      <c r="C314" t="s">
        <v>18</v>
      </c>
      <c r="D314" t="s">
        <v>50</v>
      </c>
      <c r="E314">
        <v>47</v>
      </c>
      <c r="F314">
        <v>134209.1</v>
      </c>
      <c r="G314">
        <f t="shared" si="17"/>
        <v>6307827.7000000002</v>
      </c>
      <c r="H314" s="1">
        <v>45579</v>
      </c>
      <c r="I314" s="1" t="str">
        <f t="shared" si="18"/>
        <v>Oct</v>
      </c>
      <c r="J314" s="1" t="str">
        <f t="shared" si="19"/>
        <v>2024</v>
      </c>
      <c r="K314" t="s">
        <v>30</v>
      </c>
      <c r="L314" t="s">
        <v>646</v>
      </c>
    </row>
    <row r="315" spans="1:12" x14ac:dyDescent="0.25">
      <c r="A315" t="s">
        <v>234</v>
      </c>
      <c r="B315" t="str">
        <f t="shared" si="16"/>
        <v>Identified</v>
      </c>
      <c r="C315" t="s">
        <v>83</v>
      </c>
      <c r="D315" t="s">
        <v>14</v>
      </c>
      <c r="E315">
        <v>47</v>
      </c>
      <c r="F315">
        <v>24169.32</v>
      </c>
      <c r="G315">
        <f t="shared" si="17"/>
        <v>1135958.04</v>
      </c>
      <c r="H315" s="1">
        <v>45208</v>
      </c>
      <c r="I315" s="1" t="str">
        <f t="shared" si="18"/>
        <v>Oct</v>
      </c>
      <c r="J315" s="1" t="str">
        <f t="shared" si="19"/>
        <v>2023</v>
      </c>
      <c r="K315" t="s">
        <v>11</v>
      </c>
      <c r="L315" t="s">
        <v>236</v>
      </c>
    </row>
    <row r="316" spans="1:12" x14ac:dyDescent="0.25">
      <c r="A316" t="s">
        <v>214</v>
      </c>
      <c r="B316" t="str">
        <f t="shared" si="16"/>
        <v>Identified</v>
      </c>
      <c r="C316" t="s">
        <v>97</v>
      </c>
      <c r="D316" t="s">
        <v>98</v>
      </c>
      <c r="E316">
        <v>47</v>
      </c>
      <c r="F316">
        <v>172256.3</v>
      </c>
      <c r="G316">
        <f t="shared" si="17"/>
        <v>8096046.0999999996</v>
      </c>
      <c r="H316" s="1">
        <v>45368</v>
      </c>
      <c r="I316" s="1" t="str">
        <f t="shared" si="18"/>
        <v>Mar</v>
      </c>
      <c r="J316" s="1" t="str">
        <f t="shared" si="19"/>
        <v>2024</v>
      </c>
      <c r="K316" t="s">
        <v>15</v>
      </c>
      <c r="L316" t="s">
        <v>215</v>
      </c>
    </row>
    <row r="317" spans="1:12" x14ac:dyDescent="0.25">
      <c r="A317" t="s">
        <v>56</v>
      </c>
      <c r="B317" t="str">
        <f t="shared" si="16"/>
        <v>Identified</v>
      </c>
      <c r="C317" t="s">
        <v>57</v>
      </c>
      <c r="D317" t="s">
        <v>25</v>
      </c>
      <c r="E317">
        <v>27</v>
      </c>
      <c r="F317">
        <v>142730.32999999999</v>
      </c>
      <c r="G317">
        <f t="shared" si="17"/>
        <v>3853718.9099999997</v>
      </c>
      <c r="H317" s="1">
        <v>45992</v>
      </c>
      <c r="I317" s="1" t="str">
        <f t="shared" si="18"/>
        <v>Dec</v>
      </c>
      <c r="J317" s="1" t="str">
        <f t="shared" si="19"/>
        <v>2025</v>
      </c>
      <c r="K317" t="s">
        <v>30</v>
      </c>
      <c r="L317" t="s">
        <v>1087</v>
      </c>
    </row>
    <row r="318" spans="1:12" x14ac:dyDescent="0.25">
      <c r="A318" t="s">
        <v>893</v>
      </c>
      <c r="B318" t="str">
        <f t="shared" si="16"/>
        <v>Identified</v>
      </c>
      <c r="C318" t="s">
        <v>97</v>
      </c>
      <c r="D318" t="s">
        <v>19</v>
      </c>
      <c r="E318">
        <v>47</v>
      </c>
      <c r="F318">
        <v>287192.45</v>
      </c>
      <c r="G318">
        <f t="shared" si="17"/>
        <v>13498045.15</v>
      </c>
      <c r="H318" s="1">
        <v>45412</v>
      </c>
      <c r="I318" s="1" t="str">
        <f t="shared" si="18"/>
        <v>Apr</v>
      </c>
      <c r="J318" s="1" t="str">
        <f t="shared" si="19"/>
        <v>2024</v>
      </c>
      <c r="K318" t="s">
        <v>51</v>
      </c>
      <c r="L318" t="s">
        <v>894</v>
      </c>
    </row>
    <row r="319" spans="1:12" x14ac:dyDescent="0.25">
      <c r="A319" t="s">
        <v>73</v>
      </c>
      <c r="B319" t="str">
        <f t="shared" si="16"/>
        <v>Identified</v>
      </c>
      <c r="C319" t="s">
        <v>57</v>
      </c>
      <c r="D319" t="s">
        <v>29</v>
      </c>
      <c r="E319">
        <v>36</v>
      </c>
      <c r="F319">
        <v>155623.85999999999</v>
      </c>
      <c r="G319">
        <f t="shared" si="17"/>
        <v>5602458.959999999</v>
      </c>
      <c r="H319" s="1">
        <v>45398</v>
      </c>
      <c r="I319" s="1" t="str">
        <f t="shared" si="18"/>
        <v>Apr</v>
      </c>
      <c r="J319" s="1" t="str">
        <f t="shared" si="19"/>
        <v>2024</v>
      </c>
      <c r="K319" t="s">
        <v>30</v>
      </c>
      <c r="L319" t="s">
        <v>74</v>
      </c>
    </row>
    <row r="320" spans="1:12" x14ac:dyDescent="0.25">
      <c r="A320" t="s">
        <v>527</v>
      </c>
      <c r="B320" t="str">
        <f t="shared" si="16"/>
        <v>Identified</v>
      </c>
      <c r="C320" t="s">
        <v>49</v>
      </c>
      <c r="D320" t="s">
        <v>19</v>
      </c>
      <c r="E320">
        <v>47</v>
      </c>
      <c r="F320">
        <v>167859.76</v>
      </c>
      <c r="G320">
        <f t="shared" si="17"/>
        <v>7889408.7200000007</v>
      </c>
      <c r="H320" s="1">
        <v>45431</v>
      </c>
      <c r="I320" s="1" t="str">
        <f t="shared" si="18"/>
        <v>May</v>
      </c>
      <c r="J320" s="1" t="str">
        <f t="shared" si="19"/>
        <v>2024</v>
      </c>
      <c r="K320" t="s">
        <v>30</v>
      </c>
      <c r="L320" t="s">
        <v>528</v>
      </c>
    </row>
    <row r="321" spans="1:12" x14ac:dyDescent="0.25">
      <c r="A321" t="s">
        <v>882</v>
      </c>
      <c r="B321" t="str">
        <f t="shared" si="16"/>
        <v>Identified</v>
      </c>
      <c r="C321" t="s">
        <v>18</v>
      </c>
      <c r="D321" t="s">
        <v>29</v>
      </c>
      <c r="E321">
        <v>47</v>
      </c>
      <c r="F321">
        <v>155623.85999999999</v>
      </c>
      <c r="G321">
        <f t="shared" si="17"/>
        <v>7314321.419999999</v>
      </c>
      <c r="H321" s="1">
        <v>45506</v>
      </c>
      <c r="I321" s="1" t="str">
        <f t="shared" si="18"/>
        <v>Aug</v>
      </c>
      <c r="J321" s="1" t="str">
        <f t="shared" si="19"/>
        <v>2024</v>
      </c>
      <c r="K321" t="s">
        <v>51</v>
      </c>
      <c r="L321" t="s">
        <v>883</v>
      </c>
    </row>
    <row r="322" spans="1:12" x14ac:dyDescent="0.25">
      <c r="A322" t="s">
        <v>1015</v>
      </c>
      <c r="B322" t="str">
        <f t="shared" ref="B322:B385" si="20">IF(A322="Unknown","Unidentified","Identified")</f>
        <v>Identified</v>
      </c>
      <c r="C322" t="s">
        <v>13</v>
      </c>
      <c r="D322" t="s">
        <v>19</v>
      </c>
      <c r="E322">
        <v>47</v>
      </c>
      <c r="F322">
        <v>268489.96999999997</v>
      </c>
      <c r="G322">
        <f t="shared" ref="G322:G385" si="21">F322*E322</f>
        <v>12619028.589999998</v>
      </c>
      <c r="H322" s="1">
        <v>45705</v>
      </c>
      <c r="I322" s="1" t="str">
        <f t="shared" ref="I322:I385" si="22">TEXT(H322,"MMM")</f>
        <v>Feb</v>
      </c>
      <c r="J322" s="1" t="str">
        <f t="shared" ref="J322:J385" si="23">TEXT(H322,"YYYY")</f>
        <v>2025</v>
      </c>
      <c r="K322" t="s">
        <v>15</v>
      </c>
      <c r="L322" t="s">
        <v>1016</v>
      </c>
    </row>
    <row r="323" spans="1:12" x14ac:dyDescent="0.25">
      <c r="A323" t="s">
        <v>441</v>
      </c>
      <c r="B323" t="str">
        <f t="shared" si="20"/>
        <v>Identified</v>
      </c>
      <c r="C323" t="s">
        <v>49</v>
      </c>
      <c r="D323" t="s">
        <v>19</v>
      </c>
      <c r="E323">
        <v>47</v>
      </c>
      <c r="F323">
        <v>231067.39</v>
      </c>
      <c r="G323">
        <f t="shared" si="21"/>
        <v>10860167.33</v>
      </c>
      <c r="H323" s="1">
        <v>45784</v>
      </c>
      <c r="I323" s="1" t="str">
        <f t="shared" si="22"/>
        <v>May</v>
      </c>
      <c r="J323" s="1" t="str">
        <f t="shared" si="23"/>
        <v>2025</v>
      </c>
      <c r="K323" t="s">
        <v>30</v>
      </c>
      <c r="L323" t="s">
        <v>442</v>
      </c>
    </row>
    <row r="324" spans="1:12" x14ac:dyDescent="0.25">
      <c r="A324" t="s">
        <v>880</v>
      </c>
      <c r="B324" t="str">
        <f t="shared" si="20"/>
        <v>Identified</v>
      </c>
      <c r="C324" t="s">
        <v>87</v>
      </c>
      <c r="D324" t="s">
        <v>14</v>
      </c>
      <c r="E324">
        <v>79</v>
      </c>
      <c r="F324">
        <v>105976.76</v>
      </c>
      <c r="G324">
        <f t="shared" si="21"/>
        <v>8372164.04</v>
      </c>
      <c r="H324" s="1">
        <v>45678</v>
      </c>
      <c r="I324" s="1" t="str">
        <f t="shared" si="22"/>
        <v>Jan</v>
      </c>
      <c r="J324" s="1" t="str">
        <f t="shared" si="23"/>
        <v>2025</v>
      </c>
      <c r="K324" t="s">
        <v>11</v>
      </c>
      <c r="L324" t="s">
        <v>881</v>
      </c>
    </row>
    <row r="325" spans="1:12" x14ac:dyDescent="0.25">
      <c r="A325" t="s">
        <v>270</v>
      </c>
      <c r="B325" t="str">
        <f t="shared" si="20"/>
        <v>Identified</v>
      </c>
      <c r="C325" t="s">
        <v>49</v>
      </c>
      <c r="D325" t="s">
        <v>59</v>
      </c>
      <c r="E325">
        <v>47</v>
      </c>
      <c r="F325">
        <v>30509.29</v>
      </c>
      <c r="G325">
        <f t="shared" si="21"/>
        <v>1433936.6300000001</v>
      </c>
      <c r="H325" s="1">
        <v>45250</v>
      </c>
      <c r="I325" s="1" t="str">
        <f t="shared" si="22"/>
        <v>Nov</v>
      </c>
      <c r="J325" s="1" t="str">
        <f t="shared" si="23"/>
        <v>2023</v>
      </c>
      <c r="K325" t="s">
        <v>30</v>
      </c>
      <c r="L325" t="s">
        <v>271</v>
      </c>
    </row>
    <row r="326" spans="1:12" x14ac:dyDescent="0.25">
      <c r="A326" t="s">
        <v>655</v>
      </c>
      <c r="B326" t="str">
        <f t="shared" si="20"/>
        <v>Identified</v>
      </c>
      <c r="C326" t="s">
        <v>97</v>
      </c>
      <c r="D326" t="s">
        <v>76</v>
      </c>
      <c r="E326">
        <v>47</v>
      </c>
      <c r="F326">
        <v>131969.35999999999</v>
      </c>
      <c r="G326">
        <f t="shared" si="21"/>
        <v>6202559.919999999</v>
      </c>
      <c r="H326" s="1">
        <v>45531</v>
      </c>
      <c r="I326" s="1" t="str">
        <f t="shared" si="22"/>
        <v>Aug</v>
      </c>
      <c r="J326" s="1" t="str">
        <f t="shared" si="23"/>
        <v>2024</v>
      </c>
      <c r="K326" t="s">
        <v>30</v>
      </c>
      <c r="L326" t="s">
        <v>656</v>
      </c>
    </row>
    <row r="327" spans="1:12" x14ac:dyDescent="0.25">
      <c r="A327" t="s">
        <v>1093</v>
      </c>
      <c r="B327" t="str">
        <f t="shared" si="20"/>
        <v>Identified</v>
      </c>
      <c r="C327" t="s">
        <v>46</v>
      </c>
      <c r="D327" t="s">
        <v>14</v>
      </c>
      <c r="E327">
        <v>33</v>
      </c>
      <c r="F327">
        <v>261693.68</v>
      </c>
      <c r="G327">
        <f t="shared" si="21"/>
        <v>8635891.4399999995</v>
      </c>
      <c r="H327" s="1">
        <v>45292</v>
      </c>
      <c r="I327" s="1" t="str">
        <f t="shared" si="22"/>
        <v>Jan</v>
      </c>
      <c r="J327" s="1" t="str">
        <f t="shared" si="23"/>
        <v>2024</v>
      </c>
      <c r="K327" t="s">
        <v>51</v>
      </c>
      <c r="L327" t="s">
        <v>79</v>
      </c>
    </row>
    <row r="328" spans="1:12" x14ac:dyDescent="0.25">
      <c r="A328" t="s">
        <v>930</v>
      </c>
      <c r="B328" t="str">
        <f t="shared" si="20"/>
        <v>Identified</v>
      </c>
      <c r="C328" t="s">
        <v>97</v>
      </c>
      <c r="D328" t="s">
        <v>98</v>
      </c>
      <c r="E328">
        <v>47</v>
      </c>
      <c r="F328">
        <v>5211.66</v>
      </c>
      <c r="G328">
        <f t="shared" si="21"/>
        <v>244948.02</v>
      </c>
      <c r="H328" s="1">
        <v>45284</v>
      </c>
      <c r="I328" s="1" t="str">
        <f t="shared" si="22"/>
        <v>Dec</v>
      </c>
      <c r="J328" s="1" t="str">
        <f t="shared" si="23"/>
        <v>2023</v>
      </c>
      <c r="K328" t="s">
        <v>11</v>
      </c>
      <c r="L328" t="s">
        <v>931</v>
      </c>
    </row>
    <row r="329" spans="1:12" x14ac:dyDescent="0.25">
      <c r="A329" t="s">
        <v>913</v>
      </c>
      <c r="B329" t="str">
        <f t="shared" si="20"/>
        <v>Identified</v>
      </c>
      <c r="C329" t="s">
        <v>13</v>
      </c>
      <c r="D329" t="s">
        <v>29</v>
      </c>
      <c r="E329">
        <v>39</v>
      </c>
      <c r="F329">
        <v>45733.38</v>
      </c>
      <c r="G329">
        <f t="shared" si="21"/>
        <v>1783601.8199999998</v>
      </c>
      <c r="H329" s="1">
        <v>45672</v>
      </c>
      <c r="I329" s="1" t="str">
        <f t="shared" si="22"/>
        <v>Jan</v>
      </c>
      <c r="J329" s="1" t="str">
        <f t="shared" si="23"/>
        <v>2025</v>
      </c>
      <c r="K329" t="s">
        <v>30</v>
      </c>
      <c r="L329" t="s">
        <v>914</v>
      </c>
    </row>
    <row r="330" spans="1:12" x14ac:dyDescent="0.25">
      <c r="A330" t="s">
        <v>677</v>
      </c>
      <c r="B330" t="str">
        <f t="shared" si="20"/>
        <v>Identified</v>
      </c>
      <c r="C330" t="s">
        <v>28</v>
      </c>
      <c r="D330" t="s">
        <v>14</v>
      </c>
      <c r="E330">
        <v>47</v>
      </c>
      <c r="F330">
        <v>155584.85</v>
      </c>
      <c r="G330">
        <f t="shared" si="21"/>
        <v>7312487.9500000002</v>
      </c>
      <c r="H330" s="1">
        <v>45441</v>
      </c>
      <c r="I330" s="1" t="str">
        <f t="shared" si="22"/>
        <v>May</v>
      </c>
      <c r="J330" s="1" t="str">
        <f t="shared" si="23"/>
        <v>2024</v>
      </c>
      <c r="K330" t="s">
        <v>15</v>
      </c>
      <c r="L330" t="s">
        <v>678</v>
      </c>
    </row>
    <row r="331" spans="1:12" x14ac:dyDescent="0.25">
      <c r="A331" t="s">
        <v>623</v>
      </c>
      <c r="B331" t="str">
        <f t="shared" si="20"/>
        <v>Identified</v>
      </c>
      <c r="C331" t="s">
        <v>49</v>
      </c>
      <c r="D331" t="s">
        <v>76</v>
      </c>
      <c r="E331">
        <v>19</v>
      </c>
      <c r="F331">
        <v>56949.9</v>
      </c>
      <c r="G331">
        <f t="shared" si="21"/>
        <v>1082048.1000000001</v>
      </c>
      <c r="H331" s="1">
        <v>45518</v>
      </c>
      <c r="I331" s="1" t="str">
        <f t="shared" si="22"/>
        <v>Aug</v>
      </c>
      <c r="J331" s="1" t="str">
        <f t="shared" si="23"/>
        <v>2024</v>
      </c>
      <c r="K331" t="s">
        <v>51</v>
      </c>
      <c r="L331" t="s">
        <v>624</v>
      </c>
    </row>
    <row r="332" spans="1:12" x14ac:dyDescent="0.25">
      <c r="A332" t="s">
        <v>980</v>
      </c>
      <c r="B332" t="str">
        <f t="shared" si="20"/>
        <v>Identified</v>
      </c>
      <c r="C332" t="s">
        <v>97</v>
      </c>
      <c r="D332" t="s">
        <v>59</v>
      </c>
      <c r="E332">
        <v>47</v>
      </c>
      <c r="F332">
        <v>90342.399999999994</v>
      </c>
      <c r="G332">
        <f t="shared" si="21"/>
        <v>4246092.8</v>
      </c>
      <c r="H332" s="1">
        <v>45675</v>
      </c>
      <c r="I332" s="1" t="str">
        <f t="shared" si="22"/>
        <v>Jan</v>
      </c>
      <c r="J332" s="1" t="str">
        <f t="shared" si="23"/>
        <v>2025</v>
      </c>
      <c r="K332" t="s">
        <v>30</v>
      </c>
      <c r="L332" t="s">
        <v>981</v>
      </c>
    </row>
    <row r="333" spans="1:12" x14ac:dyDescent="0.25">
      <c r="A333" t="s">
        <v>502</v>
      </c>
      <c r="B333" t="str">
        <f t="shared" si="20"/>
        <v>Identified</v>
      </c>
      <c r="C333" t="s">
        <v>57</v>
      </c>
      <c r="D333" t="s">
        <v>98</v>
      </c>
      <c r="E333">
        <v>51</v>
      </c>
      <c r="F333">
        <v>49778.879999999997</v>
      </c>
      <c r="G333">
        <f t="shared" si="21"/>
        <v>2538722.88</v>
      </c>
      <c r="H333" s="1">
        <v>45572</v>
      </c>
      <c r="I333" s="1" t="str">
        <f t="shared" si="22"/>
        <v>Oct</v>
      </c>
      <c r="J333" s="1" t="str">
        <f t="shared" si="23"/>
        <v>2024</v>
      </c>
      <c r="K333" t="s">
        <v>30</v>
      </c>
      <c r="L333" t="s">
        <v>503</v>
      </c>
    </row>
    <row r="334" spans="1:12" x14ac:dyDescent="0.25">
      <c r="A334" t="s">
        <v>1057</v>
      </c>
      <c r="B334" t="str">
        <f t="shared" si="20"/>
        <v>Identified</v>
      </c>
      <c r="C334" t="s">
        <v>36</v>
      </c>
      <c r="D334" t="s">
        <v>29</v>
      </c>
      <c r="E334">
        <v>47</v>
      </c>
      <c r="F334">
        <v>169405.48</v>
      </c>
      <c r="G334">
        <f t="shared" si="21"/>
        <v>7962057.5600000005</v>
      </c>
      <c r="H334" s="1">
        <v>45768</v>
      </c>
      <c r="I334" s="1" t="str">
        <f t="shared" si="22"/>
        <v>Apr</v>
      </c>
      <c r="J334" s="1" t="str">
        <f t="shared" si="23"/>
        <v>2025</v>
      </c>
      <c r="K334" t="s">
        <v>51</v>
      </c>
      <c r="L334" t="s">
        <v>1058</v>
      </c>
    </row>
    <row r="335" spans="1:12" x14ac:dyDescent="0.25">
      <c r="A335" t="s">
        <v>158</v>
      </c>
      <c r="B335" t="str">
        <f t="shared" si="20"/>
        <v>Identified</v>
      </c>
      <c r="C335" t="s">
        <v>143</v>
      </c>
      <c r="D335" t="s">
        <v>50</v>
      </c>
      <c r="E335">
        <v>47</v>
      </c>
      <c r="F335">
        <v>113359.02</v>
      </c>
      <c r="G335">
        <f t="shared" si="21"/>
        <v>5327873.9400000004</v>
      </c>
      <c r="H335" s="1">
        <v>45086</v>
      </c>
      <c r="I335" s="1" t="str">
        <f t="shared" si="22"/>
        <v>Jun</v>
      </c>
      <c r="J335" s="1" t="str">
        <f t="shared" si="23"/>
        <v>2023</v>
      </c>
      <c r="K335" t="s">
        <v>30</v>
      </c>
      <c r="L335" t="s">
        <v>159</v>
      </c>
    </row>
    <row r="336" spans="1:12" x14ac:dyDescent="0.25">
      <c r="A336" t="s">
        <v>917</v>
      </c>
      <c r="B336" t="str">
        <f t="shared" si="20"/>
        <v>Identified</v>
      </c>
      <c r="C336" t="s">
        <v>36</v>
      </c>
      <c r="D336" t="s">
        <v>19</v>
      </c>
      <c r="E336">
        <v>91</v>
      </c>
      <c r="F336">
        <v>137074.89000000001</v>
      </c>
      <c r="G336">
        <f t="shared" si="21"/>
        <v>12473814.990000002</v>
      </c>
      <c r="H336" s="1">
        <v>45416</v>
      </c>
      <c r="I336" s="1" t="str">
        <f t="shared" si="22"/>
        <v>May</v>
      </c>
      <c r="J336" s="1" t="str">
        <f t="shared" si="23"/>
        <v>2024</v>
      </c>
      <c r="K336" t="s">
        <v>51</v>
      </c>
      <c r="L336" t="s">
        <v>918</v>
      </c>
    </row>
    <row r="337" spans="1:12" x14ac:dyDescent="0.25">
      <c r="A337" t="s">
        <v>327</v>
      </c>
      <c r="B337" t="str">
        <f t="shared" si="20"/>
        <v>Identified</v>
      </c>
      <c r="C337" t="s">
        <v>143</v>
      </c>
      <c r="D337" t="s">
        <v>14</v>
      </c>
      <c r="E337">
        <v>47</v>
      </c>
      <c r="F337">
        <v>250942.86</v>
      </c>
      <c r="G337">
        <f t="shared" si="21"/>
        <v>11794314.42</v>
      </c>
      <c r="H337" s="1">
        <v>45546</v>
      </c>
      <c r="I337" s="1" t="str">
        <f t="shared" si="22"/>
        <v>Sep</v>
      </c>
      <c r="J337" s="1" t="str">
        <f t="shared" si="23"/>
        <v>2024</v>
      </c>
      <c r="K337" t="s">
        <v>51</v>
      </c>
      <c r="L337" t="s">
        <v>329</v>
      </c>
    </row>
    <row r="338" spans="1:12" x14ac:dyDescent="0.25">
      <c r="A338" t="s">
        <v>874</v>
      </c>
      <c r="B338" t="str">
        <f t="shared" si="20"/>
        <v>Identified</v>
      </c>
      <c r="C338" t="s">
        <v>33</v>
      </c>
      <c r="D338" t="s">
        <v>76</v>
      </c>
      <c r="E338">
        <v>47</v>
      </c>
      <c r="F338">
        <v>222008.43</v>
      </c>
      <c r="G338">
        <f t="shared" si="21"/>
        <v>10434396.209999999</v>
      </c>
      <c r="H338" s="1">
        <v>45784</v>
      </c>
      <c r="I338" s="1" t="str">
        <f t="shared" si="22"/>
        <v>May</v>
      </c>
      <c r="J338" s="1" t="str">
        <f t="shared" si="23"/>
        <v>2025</v>
      </c>
      <c r="K338" t="s">
        <v>11</v>
      </c>
      <c r="L338" t="s">
        <v>875</v>
      </c>
    </row>
    <row r="339" spans="1:12" x14ac:dyDescent="0.25">
      <c r="A339" t="s">
        <v>90</v>
      </c>
      <c r="B339" t="str">
        <f t="shared" si="20"/>
        <v>Identified</v>
      </c>
      <c r="C339" t="s">
        <v>13</v>
      </c>
      <c r="D339" t="s">
        <v>59</v>
      </c>
      <c r="E339">
        <v>42</v>
      </c>
      <c r="F339">
        <v>291631.03000000003</v>
      </c>
      <c r="G339">
        <f t="shared" si="21"/>
        <v>12248503.260000002</v>
      </c>
      <c r="H339" s="1">
        <v>45566</v>
      </c>
      <c r="I339" s="1" t="str">
        <f t="shared" si="22"/>
        <v>Oct</v>
      </c>
      <c r="J339" s="1" t="str">
        <f t="shared" si="23"/>
        <v>2024</v>
      </c>
      <c r="K339" t="s">
        <v>30</v>
      </c>
      <c r="L339" t="s">
        <v>91</v>
      </c>
    </row>
    <row r="340" spans="1:12" x14ac:dyDescent="0.25">
      <c r="A340" t="s">
        <v>411</v>
      </c>
      <c r="B340" t="str">
        <f t="shared" si="20"/>
        <v>Identified</v>
      </c>
      <c r="C340" t="s">
        <v>33</v>
      </c>
      <c r="D340" t="s">
        <v>25</v>
      </c>
      <c r="E340">
        <v>47</v>
      </c>
      <c r="F340">
        <v>134297.29</v>
      </c>
      <c r="G340">
        <f t="shared" si="21"/>
        <v>6311972.6300000008</v>
      </c>
      <c r="H340" s="1">
        <v>45467</v>
      </c>
      <c r="I340" s="1" t="str">
        <f t="shared" si="22"/>
        <v>Jun</v>
      </c>
      <c r="J340" s="1" t="str">
        <f t="shared" si="23"/>
        <v>2024</v>
      </c>
      <c r="K340" t="s">
        <v>30</v>
      </c>
      <c r="L340" t="s">
        <v>412</v>
      </c>
    </row>
    <row r="341" spans="1:12" x14ac:dyDescent="0.25">
      <c r="A341" t="s">
        <v>239</v>
      </c>
      <c r="B341" t="str">
        <f t="shared" si="20"/>
        <v>Identified</v>
      </c>
      <c r="C341" t="s">
        <v>18</v>
      </c>
      <c r="D341" t="s">
        <v>14</v>
      </c>
      <c r="E341">
        <v>47</v>
      </c>
      <c r="F341">
        <v>196963.63</v>
      </c>
      <c r="G341">
        <f t="shared" si="21"/>
        <v>9257290.6099999994</v>
      </c>
      <c r="H341" s="1">
        <v>45211</v>
      </c>
      <c r="I341" s="1" t="str">
        <f t="shared" si="22"/>
        <v>Oct</v>
      </c>
      <c r="J341" s="1" t="str">
        <f t="shared" si="23"/>
        <v>2023</v>
      </c>
      <c r="K341" t="s">
        <v>15</v>
      </c>
      <c r="L341" t="s">
        <v>1087</v>
      </c>
    </row>
    <row r="342" spans="1:12" x14ac:dyDescent="0.25">
      <c r="A342" t="s">
        <v>551</v>
      </c>
      <c r="B342" t="str">
        <f t="shared" si="20"/>
        <v>Identified</v>
      </c>
      <c r="C342" t="s">
        <v>115</v>
      </c>
      <c r="D342" t="s">
        <v>50</v>
      </c>
      <c r="E342">
        <v>47</v>
      </c>
      <c r="F342">
        <v>18546.560000000001</v>
      </c>
      <c r="G342">
        <f t="shared" si="21"/>
        <v>871688.32000000007</v>
      </c>
      <c r="H342" s="1">
        <v>45420</v>
      </c>
      <c r="I342" s="1" t="str">
        <f t="shared" si="22"/>
        <v>May</v>
      </c>
      <c r="J342" s="1" t="str">
        <f t="shared" si="23"/>
        <v>2024</v>
      </c>
      <c r="K342" t="s">
        <v>30</v>
      </c>
      <c r="L342" t="s">
        <v>552</v>
      </c>
    </row>
    <row r="343" spans="1:12" x14ac:dyDescent="0.25">
      <c r="A343" t="s">
        <v>515</v>
      </c>
      <c r="B343" t="str">
        <f t="shared" si="20"/>
        <v>Identified</v>
      </c>
      <c r="C343" t="s">
        <v>83</v>
      </c>
      <c r="D343" t="s">
        <v>29</v>
      </c>
      <c r="E343">
        <v>47</v>
      </c>
      <c r="F343">
        <v>269717.36</v>
      </c>
      <c r="G343">
        <f t="shared" si="21"/>
        <v>12676715.92</v>
      </c>
      <c r="H343" s="1">
        <v>45222</v>
      </c>
      <c r="I343" s="1" t="str">
        <f t="shared" si="22"/>
        <v>Oct</v>
      </c>
      <c r="J343" s="1" t="str">
        <f t="shared" si="23"/>
        <v>2023</v>
      </c>
      <c r="K343" t="s">
        <v>51</v>
      </c>
      <c r="L343" t="s">
        <v>517</v>
      </c>
    </row>
    <row r="344" spans="1:12" x14ac:dyDescent="0.25">
      <c r="A344" t="s">
        <v>515</v>
      </c>
      <c r="B344" t="str">
        <f t="shared" si="20"/>
        <v>Identified</v>
      </c>
      <c r="C344" t="s">
        <v>22</v>
      </c>
      <c r="D344" t="s">
        <v>50</v>
      </c>
      <c r="E344">
        <v>47</v>
      </c>
      <c r="F344">
        <v>138457.26999999999</v>
      </c>
      <c r="G344">
        <f t="shared" si="21"/>
        <v>6507491.6899999995</v>
      </c>
      <c r="H344" s="1">
        <v>44996</v>
      </c>
      <c r="I344" s="1" t="str">
        <f t="shared" si="22"/>
        <v>Mar</v>
      </c>
      <c r="J344" s="1" t="str">
        <f t="shared" si="23"/>
        <v>2023</v>
      </c>
      <c r="K344" t="s">
        <v>30</v>
      </c>
      <c r="L344" t="s">
        <v>619</v>
      </c>
    </row>
    <row r="345" spans="1:12" x14ac:dyDescent="0.25">
      <c r="A345" t="s">
        <v>673</v>
      </c>
      <c r="B345" t="str">
        <f t="shared" si="20"/>
        <v>Identified</v>
      </c>
      <c r="C345" t="s">
        <v>62</v>
      </c>
      <c r="D345" t="s">
        <v>29</v>
      </c>
      <c r="E345">
        <v>47</v>
      </c>
      <c r="F345">
        <v>173453.71</v>
      </c>
      <c r="G345">
        <f t="shared" si="21"/>
        <v>8152324.3699999992</v>
      </c>
      <c r="H345" s="1">
        <v>45641</v>
      </c>
      <c r="I345" s="1" t="str">
        <f t="shared" si="22"/>
        <v>Dec</v>
      </c>
      <c r="J345" s="1" t="str">
        <f t="shared" si="23"/>
        <v>2024</v>
      </c>
      <c r="K345" t="s">
        <v>51</v>
      </c>
      <c r="L345" t="s">
        <v>674</v>
      </c>
    </row>
    <row r="346" spans="1:12" x14ac:dyDescent="0.25">
      <c r="A346" t="s">
        <v>827</v>
      </c>
      <c r="B346" t="str">
        <f t="shared" si="20"/>
        <v>Identified</v>
      </c>
      <c r="C346" t="s">
        <v>93</v>
      </c>
      <c r="D346" t="s">
        <v>29</v>
      </c>
      <c r="E346">
        <v>47</v>
      </c>
      <c r="F346">
        <v>216862.87</v>
      </c>
      <c r="G346">
        <f t="shared" si="21"/>
        <v>10192554.890000001</v>
      </c>
      <c r="H346" s="1">
        <v>45646</v>
      </c>
      <c r="I346" s="1" t="str">
        <f t="shared" si="22"/>
        <v>Dec</v>
      </c>
      <c r="J346" s="1" t="str">
        <f t="shared" si="23"/>
        <v>2024</v>
      </c>
      <c r="K346" t="s">
        <v>15</v>
      </c>
      <c r="L346" t="s">
        <v>828</v>
      </c>
    </row>
    <row r="347" spans="1:12" x14ac:dyDescent="0.25">
      <c r="A347" t="s">
        <v>321</v>
      </c>
      <c r="B347" t="str">
        <f t="shared" si="20"/>
        <v>Identified</v>
      </c>
      <c r="C347" t="s">
        <v>62</v>
      </c>
      <c r="D347" t="s">
        <v>59</v>
      </c>
      <c r="E347">
        <v>16</v>
      </c>
      <c r="F347">
        <v>156399.29999999999</v>
      </c>
      <c r="G347">
        <f t="shared" si="21"/>
        <v>2502388.7999999998</v>
      </c>
      <c r="H347" s="1">
        <v>45614</v>
      </c>
      <c r="I347" s="1" t="str">
        <f t="shared" si="22"/>
        <v>Nov</v>
      </c>
      <c r="J347" s="1" t="str">
        <f t="shared" si="23"/>
        <v>2024</v>
      </c>
      <c r="K347" t="s">
        <v>51</v>
      </c>
      <c r="L347" t="s">
        <v>1087</v>
      </c>
    </row>
    <row r="348" spans="1:12" x14ac:dyDescent="0.25">
      <c r="A348" t="s">
        <v>211</v>
      </c>
      <c r="B348" t="str">
        <f t="shared" si="20"/>
        <v>Identified</v>
      </c>
      <c r="C348" t="s">
        <v>22</v>
      </c>
      <c r="D348" t="s">
        <v>29</v>
      </c>
      <c r="E348">
        <v>47</v>
      </c>
      <c r="F348">
        <v>216638.48</v>
      </c>
      <c r="G348">
        <f t="shared" si="21"/>
        <v>10182008.560000001</v>
      </c>
      <c r="H348" s="1">
        <v>45245</v>
      </c>
      <c r="I348" s="1" t="str">
        <f t="shared" si="22"/>
        <v>Nov</v>
      </c>
      <c r="J348" s="1" t="str">
        <f t="shared" si="23"/>
        <v>2023</v>
      </c>
      <c r="K348" t="s">
        <v>11</v>
      </c>
      <c r="L348" t="s">
        <v>1087</v>
      </c>
    </row>
    <row r="349" spans="1:12" x14ac:dyDescent="0.25">
      <c r="A349" t="s">
        <v>1059</v>
      </c>
      <c r="B349" t="str">
        <f t="shared" si="20"/>
        <v>Identified</v>
      </c>
      <c r="C349" t="s">
        <v>22</v>
      </c>
      <c r="D349" t="s">
        <v>14</v>
      </c>
      <c r="E349">
        <v>47</v>
      </c>
      <c r="F349">
        <v>170225.43</v>
      </c>
      <c r="G349">
        <f t="shared" si="21"/>
        <v>8000595.21</v>
      </c>
      <c r="H349" s="1">
        <v>45254</v>
      </c>
      <c r="I349" s="1" t="str">
        <f t="shared" si="22"/>
        <v>Nov</v>
      </c>
      <c r="J349" s="1" t="str">
        <f t="shared" si="23"/>
        <v>2023</v>
      </c>
      <c r="K349" t="s">
        <v>30</v>
      </c>
      <c r="L349" t="s">
        <v>1060</v>
      </c>
    </row>
    <row r="350" spans="1:12" x14ac:dyDescent="0.25">
      <c r="A350" t="s">
        <v>1067</v>
      </c>
      <c r="B350" t="str">
        <f t="shared" si="20"/>
        <v>Identified</v>
      </c>
      <c r="C350" t="s">
        <v>83</v>
      </c>
      <c r="D350" t="s">
        <v>76</v>
      </c>
      <c r="E350">
        <v>47</v>
      </c>
      <c r="F350">
        <v>155709.06</v>
      </c>
      <c r="G350">
        <f t="shared" si="21"/>
        <v>7318325.8200000003</v>
      </c>
      <c r="H350" s="1">
        <v>45767</v>
      </c>
      <c r="I350" s="1" t="str">
        <f t="shared" si="22"/>
        <v>Apr</v>
      </c>
      <c r="J350" s="1" t="str">
        <f t="shared" si="23"/>
        <v>2025</v>
      </c>
      <c r="K350" t="s">
        <v>30</v>
      </c>
      <c r="L350" t="s">
        <v>1068</v>
      </c>
    </row>
    <row r="351" spans="1:12" x14ac:dyDescent="0.25">
      <c r="A351" t="s">
        <v>467</v>
      </c>
      <c r="B351" t="str">
        <f t="shared" si="20"/>
        <v>Identified</v>
      </c>
      <c r="C351" t="s">
        <v>22</v>
      </c>
      <c r="D351" t="s">
        <v>50</v>
      </c>
      <c r="E351">
        <v>47</v>
      </c>
      <c r="F351">
        <v>273882.67</v>
      </c>
      <c r="G351">
        <f t="shared" si="21"/>
        <v>12872485.489999998</v>
      </c>
      <c r="H351" s="1">
        <v>45504</v>
      </c>
      <c r="I351" s="1" t="str">
        <f t="shared" si="22"/>
        <v>Jul</v>
      </c>
      <c r="J351" s="1" t="str">
        <f t="shared" si="23"/>
        <v>2024</v>
      </c>
      <c r="K351" t="s">
        <v>15</v>
      </c>
      <c r="L351" t="s">
        <v>468</v>
      </c>
    </row>
    <row r="352" spans="1:12" x14ac:dyDescent="0.25">
      <c r="A352" t="s">
        <v>381</v>
      </c>
      <c r="B352" t="str">
        <f t="shared" si="20"/>
        <v>Identified</v>
      </c>
      <c r="C352" t="s">
        <v>230</v>
      </c>
      <c r="D352" t="s">
        <v>76</v>
      </c>
      <c r="E352">
        <v>47</v>
      </c>
      <c r="F352">
        <v>88859.77</v>
      </c>
      <c r="G352">
        <f t="shared" si="21"/>
        <v>4176409.1900000004</v>
      </c>
      <c r="H352" s="1">
        <v>45366</v>
      </c>
      <c r="I352" s="1" t="str">
        <f t="shared" si="22"/>
        <v>Mar</v>
      </c>
      <c r="J352" s="1" t="str">
        <f t="shared" si="23"/>
        <v>2024</v>
      </c>
      <c r="K352" t="s">
        <v>11</v>
      </c>
      <c r="L352" t="s">
        <v>382</v>
      </c>
    </row>
    <row r="353" spans="1:12" x14ac:dyDescent="0.25">
      <c r="A353" t="s">
        <v>491</v>
      </c>
      <c r="B353" t="str">
        <f t="shared" si="20"/>
        <v>Identified</v>
      </c>
      <c r="C353" t="s">
        <v>49</v>
      </c>
      <c r="D353" t="s">
        <v>76</v>
      </c>
      <c r="E353">
        <v>78</v>
      </c>
      <c r="F353">
        <v>155709.06</v>
      </c>
      <c r="G353">
        <f t="shared" si="21"/>
        <v>12145306.68</v>
      </c>
      <c r="H353" s="1">
        <v>45502</v>
      </c>
      <c r="I353" s="1" t="str">
        <f t="shared" si="22"/>
        <v>Jul</v>
      </c>
      <c r="J353" s="1" t="str">
        <f t="shared" si="23"/>
        <v>2024</v>
      </c>
      <c r="K353" t="s">
        <v>30</v>
      </c>
      <c r="L353" t="s">
        <v>492</v>
      </c>
    </row>
    <row r="354" spans="1:12" x14ac:dyDescent="0.25">
      <c r="A354" t="s">
        <v>525</v>
      </c>
      <c r="B354" t="str">
        <f t="shared" si="20"/>
        <v>Identified</v>
      </c>
      <c r="C354" t="s">
        <v>33</v>
      </c>
      <c r="D354" t="s">
        <v>76</v>
      </c>
      <c r="E354">
        <v>40</v>
      </c>
      <c r="F354">
        <v>169391.4</v>
      </c>
      <c r="G354">
        <f t="shared" si="21"/>
        <v>6775656</v>
      </c>
      <c r="H354" s="1">
        <v>45711</v>
      </c>
      <c r="I354" s="1" t="str">
        <f t="shared" si="22"/>
        <v>Feb</v>
      </c>
      <c r="J354" s="1" t="str">
        <f t="shared" si="23"/>
        <v>2025</v>
      </c>
      <c r="K354" t="s">
        <v>11</v>
      </c>
      <c r="L354" t="s">
        <v>526</v>
      </c>
    </row>
    <row r="355" spans="1:12" x14ac:dyDescent="0.25">
      <c r="A355" t="s">
        <v>417</v>
      </c>
      <c r="B355" t="str">
        <f t="shared" si="20"/>
        <v>Identified</v>
      </c>
      <c r="C355" t="s">
        <v>39</v>
      </c>
      <c r="D355" t="s">
        <v>29</v>
      </c>
      <c r="E355">
        <v>47</v>
      </c>
      <c r="F355">
        <v>99222.78</v>
      </c>
      <c r="G355">
        <f t="shared" si="21"/>
        <v>4663470.66</v>
      </c>
      <c r="H355" s="1">
        <v>45193</v>
      </c>
      <c r="I355" s="1" t="str">
        <f t="shared" si="22"/>
        <v>Sep</v>
      </c>
      <c r="J355" s="1" t="str">
        <f t="shared" si="23"/>
        <v>2023</v>
      </c>
      <c r="K355" t="s">
        <v>11</v>
      </c>
      <c r="L355" t="s">
        <v>418</v>
      </c>
    </row>
    <row r="356" spans="1:12" x14ac:dyDescent="0.25">
      <c r="A356" t="s">
        <v>220</v>
      </c>
      <c r="B356" t="str">
        <f t="shared" si="20"/>
        <v>Identified</v>
      </c>
      <c r="C356" t="s">
        <v>39</v>
      </c>
      <c r="D356" t="s">
        <v>14</v>
      </c>
      <c r="E356">
        <v>62</v>
      </c>
      <c r="F356">
        <v>118662.47</v>
      </c>
      <c r="G356">
        <f t="shared" si="21"/>
        <v>7357073.1399999997</v>
      </c>
      <c r="H356" s="1">
        <v>45323</v>
      </c>
      <c r="I356" s="1" t="str">
        <f t="shared" si="22"/>
        <v>Feb</v>
      </c>
      <c r="J356" s="1" t="str">
        <f t="shared" si="23"/>
        <v>2024</v>
      </c>
      <c r="K356" t="s">
        <v>30</v>
      </c>
      <c r="L356" t="s">
        <v>221</v>
      </c>
    </row>
    <row r="357" spans="1:12" x14ac:dyDescent="0.25">
      <c r="A357" t="s">
        <v>775</v>
      </c>
      <c r="B357" t="str">
        <f t="shared" si="20"/>
        <v>Identified</v>
      </c>
      <c r="C357" t="s">
        <v>87</v>
      </c>
      <c r="D357" t="s">
        <v>19</v>
      </c>
      <c r="E357">
        <v>47</v>
      </c>
      <c r="F357">
        <v>201599.43</v>
      </c>
      <c r="G357">
        <f t="shared" si="21"/>
        <v>9475173.209999999</v>
      </c>
      <c r="H357" s="1">
        <v>45603</v>
      </c>
      <c r="I357" s="1" t="str">
        <f t="shared" si="22"/>
        <v>Nov</v>
      </c>
      <c r="J357" s="1" t="str">
        <f t="shared" si="23"/>
        <v>2024</v>
      </c>
      <c r="K357" t="s">
        <v>30</v>
      </c>
      <c r="L357" t="s">
        <v>776</v>
      </c>
    </row>
    <row r="358" spans="1:12" x14ac:dyDescent="0.25">
      <c r="A358" t="s">
        <v>162</v>
      </c>
      <c r="B358" t="str">
        <f t="shared" si="20"/>
        <v>Identified</v>
      </c>
      <c r="C358" t="s">
        <v>22</v>
      </c>
      <c r="D358" t="s">
        <v>14</v>
      </c>
      <c r="E358">
        <v>47</v>
      </c>
      <c r="F358">
        <v>155584.85</v>
      </c>
      <c r="G358">
        <f t="shared" si="21"/>
        <v>7312487.9500000002</v>
      </c>
      <c r="H358" s="1">
        <v>45450</v>
      </c>
      <c r="I358" s="1" t="str">
        <f t="shared" si="22"/>
        <v>Jun</v>
      </c>
      <c r="J358" s="1" t="str">
        <f t="shared" si="23"/>
        <v>2024</v>
      </c>
      <c r="K358" t="s">
        <v>15</v>
      </c>
      <c r="L358" t="s">
        <v>163</v>
      </c>
    </row>
    <row r="359" spans="1:12" x14ac:dyDescent="0.25">
      <c r="A359" t="s">
        <v>536</v>
      </c>
      <c r="B359" t="str">
        <f t="shared" si="20"/>
        <v>Identified</v>
      </c>
      <c r="C359" t="s">
        <v>93</v>
      </c>
      <c r="D359" t="s">
        <v>25</v>
      </c>
      <c r="E359">
        <v>47</v>
      </c>
      <c r="F359">
        <v>76709.94</v>
      </c>
      <c r="G359">
        <f t="shared" si="21"/>
        <v>3605367.18</v>
      </c>
      <c r="H359" s="1">
        <v>45560</v>
      </c>
      <c r="I359" s="1" t="str">
        <f t="shared" si="22"/>
        <v>Sep</v>
      </c>
      <c r="J359" s="1" t="str">
        <f t="shared" si="23"/>
        <v>2024</v>
      </c>
      <c r="K359" t="s">
        <v>30</v>
      </c>
      <c r="L359" t="s">
        <v>537</v>
      </c>
    </row>
    <row r="360" spans="1:12" x14ac:dyDescent="0.25">
      <c r="A360" t="s">
        <v>915</v>
      </c>
      <c r="B360" t="str">
        <f t="shared" si="20"/>
        <v>Identified</v>
      </c>
      <c r="C360" t="s">
        <v>62</v>
      </c>
      <c r="D360" t="s">
        <v>76</v>
      </c>
      <c r="E360">
        <v>47</v>
      </c>
      <c r="F360">
        <v>66006.539999999994</v>
      </c>
      <c r="G360">
        <f t="shared" si="21"/>
        <v>3102307.38</v>
      </c>
      <c r="H360" s="1">
        <v>45208</v>
      </c>
      <c r="I360" s="1" t="str">
        <f t="shared" si="22"/>
        <v>Oct</v>
      </c>
      <c r="J360" s="1" t="str">
        <f t="shared" si="23"/>
        <v>2023</v>
      </c>
      <c r="K360" t="s">
        <v>15</v>
      </c>
      <c r="L360" t="s">
        <v>916</v>
      </c>
    </row>
    <row r="361" spans="1:12" x14ac:dyDescent="0.25">
      <c r="A361" t="s">
        <v>393</v>
      </c>
      <c r="B361" t="str">
        <f t="shared" si="20"/>
        <v>Identified</v>
      </c>
      <c r="C361" t="s">
        <v>46</v>
      </c>
      <c r="D361" t="s">
        <v>25</v>
      </c>
      <c r="E361">
        <v>78</v>
      </c>
      <c r="F361">
        <v>128597.12</v>
      </c>
      <c r="G361">
        <f t="shared" si="21"/>
        <v>10030575.359999999</v>
      </c>
      <c r="H361" s="1">
        <v>45708</v>
      </c>
      <c r="I361" s="1" t="str">
        <f t="shared" si="22"/>
        <v>Feb</v>
      </c>
      <c r="J361" s="1" t="str">
        <f t="shared" si="23"/>
        <v>2025</v>
      </c>
      <c r="K361" t="s">
        <v>30</v>
      </c>
      <c r="L361" t="s">
        <v>394</v>
      </c>
    </row>
    <row r="362" spans="1:12" x14ac:dyDescent="0.25">
      <c r="A362" t="s">
        <v>419</v>
      </c>
      <c r="B362" t="str">
        <f t="shared" si="20"/>
        <v>Identified</v>
      </c>
      <c r="C362" t="s">
        <v>97</v>
      </c>
      <c r="D362" t="s">
        <v>25</v>
      </c>
      <c r="E362">
        <v>47</v>
      </c>
      <c r="F362">
        <v>174947</v>
      </c>
      <c r="G362">
        <f t="shared" si="21"/>
        <v>8222509</v>
      </c>
      <c r="H362" s="1">
        <v>45157</v>
      </c>
      <c r="I362" s="1" t="str">
        <f t="shared" si="22"/>
        <v>Aug</v>
      </c>
      <c r="J362" s="1" t="str">
        <f t="shared" si="23"/>
        <v>2023</v>
      </c>
      <c r="K362" t="s">
        <v>30</v>
      </c>
      <c r="L362" t="s">
        <v>420</v>
      </c>
    </row>
    <row r="363" spans="1:12" x14ac:dyDescent="0.25">
      <c r="A363" t="s">
        <v>522</v>
      </c>
      <c r="B363" t="str">
        <f t="shared" si="20"/>
        <v>Identified</v>
      </c>
      <c r="C363" t="s">
        <v>83</v>
      </c>
      <c r="D363" t="s">
        <v>14</v>
      </c>
      <c r="E363">
        <v>47</v>
      </c>
      <c r="F363">
        <v>40017.33</v>
      </c>
      <c r="G363">
        <f t="shared" si="21"/>
        <v>1880814.51</v>
      </c>
      <c r="H363" s="1">
        <v>45683</v>
      </c>
      <c r="I363" s="1" t="str">
        <f t="shared" si="22"/>
        <v>Jan</v>
      </c>
      <c r="J363" s="1" t="str">
        <f t="shared" si="23"/>
        <v>2025</v>
      </c>
      <c r="K363" t="s">
        <v>11</v>
      </c>
      <c r="L363" t="s">
        <v>523</v>
      </c>
    </row>
    <row r="364" spans="1:12" x14ac:dyDescent="0.25">
      <c r="A364" t="s">
        <v>58</v>
      </c>
      <c r="B364" t="str">
        <f t="shared" si="20"/>
        <v>Identified</v>
      </c>
      <c r="C364" t="s">
        <v>22</v>
      </c>
      <c r="D364" t="s">
        <v>59</v>
      </c>
      <c r="E364">
        <v>47</v>
      </c>
      <c r="F364">
        <v>5482.77</v>
      </c>
      <c r="G364">
        <f t="shared" si="21"/>
        <v>257690.19000000003</v>
      </c>
      <c r="H364" s="1">
        <v>45838</v>
      </c>
      <c r="I364" s="1" t="str">
        <f t="shared" si="22"/>
        <v>Jun</v>
      </c>
      <c r="J364" s="1" t="str">
        <f t="shared" si="23"/>
        <v>2025</v>
      </c>
      <c r="K364" t="s">
        <v>30</v>
      </c>
      <c r="L364" t="s">
        <v>60</v>
      </c>
    </row>
    <row r="365" spans="1:12" x14ac:dyDescent="0.25">
      <c r="A365" t="s">
        <v>375</v>
      </c>
      <c r="B365" t="str">
        <f t="shared" si="20"/>
        <v>Identified</v>
      </c>
      <c r="C365" t="s">
        <v>39</v>
      </c>
      <c r="D365" t="s">
        <v>25</v>
      </c>
      <c r="E365">
        <v>100</v>
      </c>
      <c r="F365">
        <v>215720.15</v>
      </c>
      <c r="G365">
        <f t="shared" si="21"/>
        <v>21572015</v>
      </c>
      <c r="H365" s="1">
        <v>45229</v>
      </c>
      <c r="I365" s="1" t="str">
        <f t="shared" si="22"/>
        <v>Oct</v>
      </c>
      <c r="J365" s="1" t="str">
        <f t="shared" si="23"/>
        <v>2023</v>
      </c>
      <c r="K365" t="s">
        <v>30</v>
      </c>
      <c r="L365" t="s">
        <v>1087</v>
      </c>
    </row>
    <row r="366" spans="1:12" x14ac:dyDescent="0.25">
      <c r="A366" t="s">
        <v>315</v>
      </c>
      <c r="B366" t="str">
        <f t="shared" si="20"/>
        <v>Identified</v>
      </c>
      <c r="C366" t="s">
        <v>83</v>
      </c>
      <c r="D366" t="s">
        <v>29</v>
      </c>
      <c r="E366">
        <v>28</v>
      </c>
      <c r="F366">
        <v>11670.82</v>
      </c>
      <c r="G366">
        <f t="shared" si="21"/>
        <v>326782.95999999996</v>
      </c>
      <c r="H366" s="1">
        <v>45562</v>
      </c>
      <c r="I366" s="1" t="str">
        <f t="shared" si="22"/>
        <v>Sep</v>
      </c>
      <c r="J366" s="1" t="str">
        <f t="shared" si="23"/>
        <v>2024</v>
      </c>
      <c r="K366" t="s">
        <v>11</v>
      </c>
      <c r="L366" t="s">
        <v>316</v>
      </c>
    </row>
    <row r="367" spans="1:12" x14ac:dyDescent="0.25">
      <c r="A367" t="s">
        <v>308</v>
      </c>
      <c r="B367" t="str">
        <f t="shared" si="20"/>
        <v>Identified</v>
      </c>
      <c r="C367" t="s">
        <v>143</v>
      </c>
      <c r="D367" t="s">
        <v>50</v>
      </c>
      <c r="E367">
        <v>47</v>
      </c>
      <c r="F367">
        <v>70049.95</v>
      </c>
      <c r="G367">
        <f t="shared" si="21"/>
        <v>3292347.65</v>
      </c>
      <c r="H367" s="1">
        <v>45623</v>
      </c>
      <c r="I367" s="1" t="str">
        <f t="shared" si="22"/>
        <v>Nov</v>
      </c>
      <c r="J367" s="1" t="str">
        <f t="shared" si="23"/>
        <v>2024</v>
      </c>
      <c r="K367" t="s">
        <v>51</v>
      </c>
      <c r="L367" t="s">
        <v>309</v>
      </c>
    </row>
    <row r="368" spans="1:12" x14ac:dyDescent="0.25">
      <c r="A368" t="s">
        <v>218</v>
      </c>
      <c r="B368" t="str">
        <f t="shared" si="20"/>
        <v>Identified</v>
      </c>
      <c r="C368" t="s">
        <v>18</v>
      </c>
      <c r="D368" t="s">
        <v>29</v>
      </c>
      <c r="E368">
        <v>47</v>
      </c>
      <c r="F368">
        <v>268780.26</v>
      </c>
      <c r="G368">
        <f t="shared" si="21"/>
        <v>12632672.220000001</v>
      </c>
      <c r="H368" s="1">
        <v>45962</v>
      </c>
      <c r="I368" s="1" t="str">
        <f t="shared" si="22"/>
        <v>Nov</v>
      </c>
      <c r="J368" s="1" t="str">
        <f t="shared" si="23"/>
        <v>2025</v>
      </c>
      <c r="K368" t="s">
        <v>30</v>
      </c>
      <c r="L368" t="s">
        <v>219</v>
      </c>
    </row>
    <row r="369" spans="1:12" x14ac:dyDescent="0.25">
      <c r="A369" t="s">
        <v>48</v>
      </c>
      <c r="B369" t="str">
        <f t="shared" si="20"/>
        <v>Identified</v>
      </c>
      <c r="C369" t="s">
        <v>49</v>
      </c>
      <c r="D369" t="s">
        <v>50</v>
      </c>
      <c r="E369">
        <v>3</v>
      </c>
      <c r="F369">
        <v>153159.37</v>
      </c>
      <c r="G369">
        <f t="shared" si="21"/>
        <v>459478.11</v>
      </c>
      <c r="H369" s="1">
        <v>45693</v>
      </c>
      <c r="I369" s="1" t="str">
        <f t="shared" si="22"/>
        <v>Feb</v>
      </c>
      <c r="J369" s="1" t="str">
        <f t="shared" si="23"/>
        <v>2025</v>
      </c>
      <c r="K369" t="s">
        <v>51</v>
      </c>
      <c r="L369" t="s">
        <v>52</v>
      </c>
    </row>
    <row r="370" spans="1:12" x14ac:dyDescent="0.25">
      <c r="A370" t="s">
        <v>1043</v>
      </c>
      <c r="B370" t="str">
        <f t="shared" si="20"/>
        <v>Identified</v>
      </c>
      <c r="C370" t="s">
        <v>13</v>
      </c>
      <c r="D370" t="s">
        <v>50</v>
      </c>
      <c r="E370">
        <v>47</v>
      </c>
      <c r="F370">
        <v>5189.6000000000004</v>
      </c>
      <c r="G370">
        <f t="shared" si="21"/>
        <v>243911.2</v>
      </c>
      <c r="H370" s="1">
        <v>45662</v>
      </c>
      <c r="I370" s="1" t="str">
        <f t="shared" si="22"/>
        <v>Jan</v>
      </c>
      <c r="J370" s="1" t="str">
        <f t="shared" si="23"/>
        <v>2025</v>
      </c>
      <c r="K370" t="s">
        <v>51</v>
      </c>
      <c r="L370" t="s">
        <v>1044</v>
      </c>
    </row>
    <row r="371" spans="1:12" x14ac:dyDescent="0.25">
      <c r="A371" t="s">
        <v>835</v>
      </c>
      <c r="B371" t="str">
        <f t="shared" si="20"/>
        <v>Identified</v>
      </c>
      <c r="C371" t="s">
        <v>230</v>
      </c>
      <c r="D371" t="s">
        <v>76</v>
      </c>
      <c r="E371">
        <v>47</v>
      </c>
      <c r="F371">
        <v>94220.14</v>
      </c>
      <c r="G371">
        <f t="shared" si="21"/>
        <v>4428346.58</v>
      </c>
      <c r="H371" s="1">
        <v>45293</v>
      </c>
      <c r="I371" s="1" t="str">
        <f t="shared" si="22"/>
        <v>Jan</v>
      </c>
      <c r="J371" s="1" t="str">
        <f t="shared" si="23"/>
        <v>2024</v>
      </c>
      <c r="K371" t="s">
        <v>30</v>
      </c>
      <c r="L371" t="s">
        <v>836</v>
      </c>
    </row>
    <row r="372" spans="1:12" x14ac:dyDescent="0.25">
      <c r="A372" t="s">
        <v>1094</v>
      </c>
      <c r="B372" t="str">
        <f t="shared" si="20"/>
        <v>Identified</v>
      </c>
      <c r="C372" t="s">
        <v>97</v>
      </c>
      <c r="D372" t="s">
        <v>19</v>
      </c>
      <c r="E372">
        <v>65</v>
      </c>
      <c r="F372">
        <v>206948.51</v>
      </c>
      <c r="G372">
        <f t="shared" si="21"/>
        <v>13451653.15</v>
      </c>
      <c r="H372" s="1">
        <v>44969</v>
      </c>
      <c r="I372" s="1" t="str">
        <f t="shared" si="22"/>
        <v>Feb</v>
      </c>
      <c r="J372" s="1" t="str">
        <f t="shared" si="23"/>
        <v>2023</v>
      </c>
      <c r="K372" t="s">
        <v>11</v>
      </c>
      <c r="L372" t="s">
        <v>1076</v>
      </c>
    </row>
    <row r="373" spans="1:12" x14ac:dyDescent="0.25">
      <c r="A373" t="s">
        <v>959</v>
      </c>
      <c r="B373" t="str">
        <f t="shared" si="20"/>
        <v>Identified</v>
      </c>
      <c r="C373" t="s">
        <v>87</v>
      </c>
      <c r="D373" t="s">
        <v>19</v>
      </c>
      <c r="E373">
        <v>47</v>
      </c>
      <c r="F373">
        <v>72670.17</v>
      </c>
      <c r="G373">
        <f t="shared" si="21"/>
        <v>3415497.9899999998</v>
      </c>
      <c r="H373" s="1">
        <v>45157</v>
      </c>
      <c r="I373" s="1" t="str">
        <f t="shared" si="22"/>
        <v>Aug</v>
      </c>
      <c r="J373" s="1" t="str">
        <f t="shared" si="23"/>
        <v>2023</v>
      </c>
      <c r="K373" t="s">
        <v>11</v>
      </c>
      <c r="L373" t="s">
        <v>960</v>
      </c>
    </row>
    <row r="374" spans="1:12" x14ac:dyDescent="0.25">
      <c r="A374" t="s">
        <v>587</v>
      </c>
      <c r="B374" t="str">
        <f t="shared" si="20"/>
        <v>Identified</v>
      </c>
      <c r="C374" t="s">
        <v>49</v>
      </c>
      <c r="D374" t="s">
        <v>98</v>
      </c>
      <c r="E374">
        <v>47</v>
      </c>
      <c r="F374">
        <v>262428.84000000003</v>
      </c>
      <c r="G374">
        <f t="shared" si="21"/>
        <v>12334155.48</v>
      </c>
      <c r="H374" s="1">
        <v>45704</v>
      </c>
      <c r="I374" s="1" t="str">
        <f t="shared" si="22"/>
        <v>Feb</v>
      </c>
      <c r="J374" s="1" t="str">
        <f t="shared" si="23"/>
        <v>2025</v>
      </c>
      <c r="K374" t="s">
        <v>51</v>
      </c>
      <c r="L374" t="s">
        <v>588</v>
      </c>
    </row>
    <row r="375" spans="1:12" x14ac:dyDescent="0.25">
      <c r="A375" t="s">
        <v>928</v>
      </c>
      <c r="B375" t="str">
        <f t="shared" si="20"/>
        <v>Identified</v>
      </c>
      <c r="C375" t="s">
        <v>66</v>
      </c>
      <c r="D375" t="s">
        <v>25</v>
      </c>
      <c r="E375">
        <v>47</v>
      </c>
      <c r="F375">
        <v>197955.66</v>
      </c>
      <c r="G375">
        <f t="shared" si="21"/>
        <v>9303916.0199999996</v>
      </c>
      <c r="H375" s="1">
        <v>45490</v>
      </c>
      <c r="I375" s="1" t="str">
        <f t="shared" si="22"/>
        <v>Jul</v>
      </c>
      <c r="J375" s="1" t="str">
        <f t="shared" si="23"/>
        <v>2024</v>
      </c>
      <c r="K375" t="s">
        <v>30</v>
      </c>
      <c r="L375" t="s">
        <v>929</v>
      </c>
    </row>
    <row r="376" spans="1:12" x14ac:dyDescent="0.25">
      <c r="A376" t="s">
        <v>717</v>
      </c>
      <c r="B376" t="str">
        <f t="shared" si="20"/>
        <v>Identified</v>
      </c>
      <c r="C376" t="s">
        <v>18</v>
      </c>
      <c r="D376" t="s">
        <v>19</v>
      </c>
      <c r="E376">
        <v>47</v>
      </c>
      <c r="F376">
        <v>122773.62</v>
      </c>
      <c r="G376">
        <f t="shared" si="21"/>
        <v>5770360.1399999997</v>
      </c>
      <c r="H376" s="1">
        <v>45491</v>
      </c>
      <c r="I376" s="1" t="str">
        <f t="shared" si="22"/>
        <v>Jul</v>
      </c>
      <c r="J376" s="1" t="str">
        <f t="shared" si="23"/>
        <v>2024</v>
      </c>
      <c r="K376" t="s">
        <v>11</v>
      </c>
      <c r="L376" t="s">
        <v>718</v>
      </c>
    </row>
    <row r="377" spans="1:12" x14ac:dyDescent="0.25">
      <c r="A377" t="s">
        <v>464</v>
      </c>
      <c r="B377" t="str">
        <f t="shared" si="20"/>
        <v>Identified</v>
      </c>
      <c r="C377" t="s">
        <v>230</v>
      </c>
      <c r="D377" t="s">
        <v>50</v>
      </c>
      <c r="E377">
        <v>47</v>
      </c>
      <c r="F377">
        <v>210731.25</v>
      </c>
      <c r="G377">
        <f t="shared" si="21"/>
        <v>9904368.75</v>
      </c>
      <c r="H377" s="1">
        <v>45446</v>
      </c>
      <c r="I377" s="1" t="str">
        <f t="shared" si="22"/>
        <v>Jun</v>
      </c>
      <c r="J377" s="1" t="str">
        <f t="shared" si="23"/>
        <v>2024</v>
      </c>
      <c r="K377" t="s">
        <v>11</v>
      </c>
      <c r="L377" t="s">
        <v>466</v>
      </c>
    </row>
    <row r="378" spans="1:12" x14ac:dyDescent="0.25">
      <c r="A378" t="s">
        <v>111</v>
      </c>
      <c r="B378" t="str">
        <f t="shared" si="20"/>
        <v>Identified</v>
      </c>
      <c r="C378" t="s">
        <v>39</v>
      </c>
      <c r="D378" t="s">
        <v>19</v>
      </c>
      <c r="E378">
        <v>47</v>
      </c>
      <c r="F378">
        <v>114367.01</v>
      </c>
      <c r="G378">
        <f t="shared" si="21"/>
        <v>5375249.4699999997</v>
      </c>
      <c r="H378" s="1">
        <v>45742</v>
      </c>
      <c r="I378" s="1" t="str">
        <f t="shared" si="22"/>
        <v>Mar</v>
      </c>
      <c r="J378" s="1" t="str">
        <f t="shared" si="23"/>
        <v>2025</v>
      </c>
      <c r="K378" t="s">
        <v>30</v>
      </c>
      <c r="L378" t="s">
        <v>113</v>
      </c>
    </row>
    <row r="379" spans="1:12" x14ac:dyDescent="0.25">
      <c r="A379" t="s">
        <v>627</v>
      </c>
      <c r="B379" t="str">
        <f t="shared" si="20"/>
        <v>Identified</v>
      </c>
      <c r="C379" t="s">
        <v>39</v>
      </c>
      <c r="D379" t="s">
        <v>59</v>
      </c>
      <c r="E379">
        <v>47</v>
      </c>
      <c r="F379">
        <v>229764.23</v>
      </c>
      <c r="G379">
        <f t="shared" si="21"/>
        <v>10798918.810000001</v>
      </c>
      <c r="H379" s="1">
        <v>45372</v>
      </c>
      <c r="I379" s="1" t="str">
        <f t="shared" si="22"/>
        <v>Mar</v>
      </c>
      <c r="J379" s="1" t="str">
        <f t="shared" si="23"/>
        <v>2024</v>
      </c>
      <c r="K379" t="s">
        <v>30</v>
      </c>
      <c r="L379" t="s">
        <v>628</v>
      </c>
    </row>
    <row r="380" spans="1:12" x14ac:dyDescent="0.25">
      <c r="A380" t="s">
        <v>755</v>
      </c>
      <c r="B380" t="str">
        <f t="shared" si="20"/>
        <v>Identified</v>
      </c>
      <c r="C380" t="s">
        <v>83</v>
      </c>
      <c r="D380" t="s">
        <v>59</v>
      </c>
      <c r="E380">
        <v>47</v>
      </c>
      <c r="F380">
        <v>111637.71</v>
      </c>
      <c r="G380">
        <f t="shared" si="21"/>
        <v>5246972.37</v>
      </c>
      <c r="H380" s="1">
        <v>45568</v>
      </c>
      <c r="I380" s="1" t="str">
        <f t="shared" si="22"/>
        <v>Oct</v>
      </c>
      <c r="J380" s="1" t="str">
        <f t="shared" si="23"/>
        <v>2024</v>
      </c>
      <c r="K380" t="s">
        <v>15</v>
      </c>
      <c r="L380" t="s">
        <v>756</v>
      </c>
    </row>
    <row r="381" spans="1:12" x14ac:dyDescent="0.25">
      <c r="A381" t="s">
        <v>413</v>
      </c>
      <c r="B381" t="str">
        <f t="shared" si="20"/>
        <v>Identified</v>
      </c>
      <c r="C381" t="s">
        <v>22</v>
      </c>
      <c r="D381" t="s">
        <v>25</v>
      </c>
      <c r="E381">
        <v>41</v>
      </c>
      <c r="F381">
        <v>80464.800000000003</v>
      </c>
      <c r="G381">
        <f t="shared" si="21"/>
        <v>3299056.8000000003</v>
      </c>
      <c r="H381" s="1">
        <v>45310</v>
      </c>
      <c r="I381" s="1" t="str">
        <f t="shared" si="22"/>
        <v>Jan</v>
      </c>
      <c r="J381" s="1" t="str">
        <f t="shared" si="23"/>
        <v>2024</v>
      </c>
      <c r="K381" t="s">
        <v>51</v>
      </c>
      <c r="L381" t="s">
        <v>414</v>
      </c>
    </row>
    <row r="382" spans="1:12" x14ac:dyDescent="0.25">
      <c r="A382" t="s">
        <v>795</v>
      </c>
      <c r="B382" t="str">
        <f t="shared" si="20"/>
        <v>Identified</v>
      </c>
      <c r="C382" t="s">
        <v>22</v>
      </c>
      <c r="D382" t="s">
        <v>19</v>
      </c>
      <c r="E382">
        <v>47</v>
      </c>
      <c r="F382">
        <v>226422.06</v>
      </c>
      <c r="G382">
        <f t="shared" si="21"/>
        <v>10641836.82</v>
      </c>
      <c r="H382" s="1">
        <v>45370</v>
      </c>
      <c r="I382" s="1" t="str">
        <f t="shared" si="22"/>
        <v>Mar</v>
      </c>
      <c r="J382" s="1" t="str">
        <f t="shared" si="23"/>
        <v>2024</v>
      </c>
      <c r="K382" t="s">
        <v>51</v>
      </c>
      <c r="L382" t="s">
        <v>796</v>
      </c>
    </row>
    <row r="383" spans="1:12" x14ac:dyDescent="0.25">
      <c r="A383" t="s">
        <v>1121</v>
      </c>
      <c r="B383" t="str">
        <f t="shared" si="20"/>
        <v>Unidentified</v>
      </c>
      <c r="C383" t="s">
        <v>33</v>
      </c>
      <c r="D383" t="s">
        <v>19</v>
      </c>
      <c r="E383">
        <v>47</v>
      </c>
      <c r="F383">
        <v>155709.06</v>
      </c>
      <c r="G383">
        <f t="shared" si="21"/>
        <v>7318325.8200000003</v>
      </c>
      <c r="H383" s="1">
        <v>45774</v>
      </c>
      <c r="I383" s="1" t="str">
        <f t="shared" si="22"/>
        <v>Apr</v>
      </c>
      <c r="J383" s="1" t="str">
        <f t="shared" si="23"/>
        <v>2025</v>
      </c>
      <c r="K383" t="s">
        <v>11</v>
      </c>
      <c r="L383" t="s">
        <v>1087</v>
      </c>
    </row>
    <row r="384" spans="1:12" x14ac:dyDescent="0.25">
      <c r="A384" t="s">
        <v>1121</v>
      </c>
      <c r="B384" t="str">
        <f t="shared" si="20"/>
        <v>Unidentified</v>
      </c>
      <c r="C384" t="s">
        <v>39</v>
      </c>
      <c r="D384" t="s">
        <v>29</v>
      </c>
      <c r="E384">
        <v>47</v>
      </c>
      <c r="F384">
        <v>169095.82</v>
      </c>
      <c r="G384">
        <f t="shared" si="21"/>
        <v>7947503.54</v>
      </c>
      <c r="H384" s="1">
        <v>45670</v>
      </c>
      <c r="I384" s="1" t="str">
        <f t="shared" si="22"/>
        <v>Jan</v>
      </c>
      <c r="J384" s="1" t="str">
        <f t="shared" si="23"/>
        <v>2025</v>
      </c>
      <c r="K384" t="s">
        <v>30</v>
      </c>
      <c r="L384" t="s">
        <v>55</v>
      </c>
    </row>
    <row r="385" spans="1:12" x14ac:dyDescent="0.25">
      <c r="A385" t="s">
        <v>1121</v>
      </c>
      <c r="B385" t="str">
        <f t="shared" si="20"/>
        <v>Unidentified</v>
      </c>
      <c r="C385" t="s">
        <v>18</v>
      </c>
      <c r="D385" t="s">
        <v>76</v>
      </c>
      <c r="E385">
        <v>47</v>
      </c>
      <c r="F385">
        <v>196849.5</v>
      </c>
      <c r="G385">
        <f t="shared" si="21"/>
        <v>9251926.5</v>
      </c>
      <c r="H385" s="1">
        <v>45225</v>
      </c>
      <c r="I385" s="1" t="str">
        <f t="shared" si="22"/>
        <v>Oct</v>
      </c>
      <c r="J385" s="1" t="str">
        <f t="shared" si="23"/>
        <v>2023</v>
      </c>
      <c r="K385" t="s">
        <v>51</v>
      </c>
      <c r="L385" t="s">
        <v>89</v>
      </c>
    </row>
    <row r="386" spans="1:12" x14ac:dyDescent="0.25">
      <c r="A386" t="s">
        <v>1121</v>
      </c>
      <c r="B386" t="str">
        <f t="shared" ref="B386:B449" si="24">IF(A386="Unknown","Unidentified","Identified")</f>
        <v>Unidentified</v>
      </c>
      <c r="C386" t="s">
        <v>119</v>
      </c>
      <c r="D386" t="s">
        <v>25</v>
      </c>
      <c r="E386">
        <v>47</v>
      </c>
      <c r="F386">
        <v>171984.8</v>
      </c>
      <c r="G386">
        <f t="shared" ref="G386:G449" si="25">F386*E386</f>
        <v>8083285.5999999996</v>
      </c>
      <c r="H386" s="1">
        <v>45593</v>
      </c>
      <c r="I386" s="1" t="str">
        <f t="shared" ref="I386:I449" si="26">TEXT(H386,"MMM")</f>
        <v>Oct</v>
      </c>
      <c r="J386" s="1" t="str">
        <f t="shared" ref="J386:J449" si="27">TEXT(H386,"YYYY")</f>
        <v>2024</v>
      </c>
      <c r="K386" t="s">
        <v>11</v>
      </c>
      <c r="L386" t="s">
        <v>120</v>
      </c>
    </row>
    <row r="387" spans="1:12" x14ac:dyDescent="0.25">
      <c r="A387" t="s">
        <v>1121</v>
      </c>
      <c r="B387" t="str">
        <f t="shared" si="24"/>
        <v>Unidentified</v>
      </c>
      <c r="C387" t="s">
        <v>119</v>
      </c>
      <c r="D387" t="s">
        <v>14</v>
      </c>
      <c r="E387">
        <v>47</v>
      </c>
      <c r="F387">
        <v>218356.93</v>
      </c>
      <c r="G387">
        <f t="shared" si="25"/>
        <v>10262775.709999999</v>
      </c>
      <c r="H387" s="1">
        <v>45934</v>
      </c>
      <c r="I387" s="1" t="str">
        <f t="shared" si="26"/>
        <v>Oct</v>
      </c>
      <c r="J387" s="1" t="str">
        <f t="shared" si="27"/>
        <v>2025</v>
      </c>
      <c r="K387" t="s">
        <v>15</v>
      </c>
      <c r="L387" t="s">
        <v>147</v>
      </c>
    </row>
    <row r="388" spans="1:12" x14ac:dyDescent="0.25">
      <c r="A388" t="s">
        <v>1121</v>
      </c>
      <c r="B388" t="str">
        <f t="shared" si="24"/>
        <v>Unidentified</v>
      </c>
      <c r="C388" t="s">
        <v>119</v>
      </c>
      <c r="D388" t="s">
        <v>76</v>
      </c>
      <c r="E388">
        <v>47</v>
      </c>
      <c r="F388">
        <v>260362.49</v>
      </c>
      <c r="G388">
        <f t="shared" si="25"/>
        <v>12237037.029999999</v>
      </c>
      <c r="H388" s="1">
        <v>45799</v>
      </c>
      <c r="I388" s="1" t="str">
        <f t="shared" si="26"/>
        <v>May</v>
      </c>
      <c r="J388" s="1" t="str">
        <f t="shared" si="27"/>
        <v>2025</v>
      </c>
      <c r="K388" t="s">
        <v>51</v>
      </c>
      <c r="L388" t="s">
        <v>174</v>
      </c>
    </row>
    <row r="389" spans="1:12" x14ac:dyDescent="0.25">
      <c r="A389" t="s">
        <v>1121</v>
      </c>
      <c r="B389" t="str">
        <f t="shared" si="24"/>
        <v>Unidentified</v>
      </c>
      <c r="C389" t="s">
        <v>115</v>
      </c>
      <c r="D389" t="s">
        <v>98</v>
      </c>
      <c r="E389">
        <v>47</v>
      </c>
      <c r="F389">
        <v>207226.85</v>
      </c>
      <c r="G389">
        <f t="shared" si="25"/>
        <v>9739661.9500000011</v>
      </c>
      <c r="H389" s="1">
        <v>45161</v>
      </c>
      <c r="I389" s="1" t="str">
        <f t="shared" si="26"/>
        <v>Aug</v>
      </c>
      <c r="J389" s="1" t="str">
        <f t="shared" si="27"/>
        <v>2023</v>
      </c>
      <c r="K389" t="s">
        <v>51</v>
      </c>
      <c r="L389" t="s">
        <v>199</v>
      </c>
    </row>
    <row r="390" spans="1:12" x14ac:dyDescent="0.25">
      <c r="A390" t="s">
        <v>1121</v>
      </c>
      <c r="B390" t="str">
        <f t="shared" si="24"/>
        <v>Unidentified</v>
      </c>
      <c r="C390" t="s">
        <v>87</v>
      </c>
      <c r="D390" t="s">
        <v>50</v>
      </c>
      <c r="E390">
        <v>47</v>
      </c>
      <c r="F390">
        <v>103867.84</v>
      </c>
      <c r="G390">
        <f t="shared" si="25"/>
        <v>4881788.4799999995</v>
      </c>
      <c r="H390" s="1">
        <v>45937</v>
      </c>
      <c r="I390" s="1" t="str">
        <f t="shared" si="26"/>
        <v>Oct</v>
      </c>
      <c r="J390" s="1" t="str">
        <f t="shared" si="27"/>
        <v>2025</v>
      </c>
      <c r="K390" t="s">
        <v>51</v>
      </c>
      <c r="L390" t="s">
        <v>224</v>
      </c>
    </row>
    <row r="391" spans="1:12" x14ac:dyDescent="0.25">
      <c r="A391" t="s">
        <v>1121</v>
      </c>
      <c r="B391" t="str">
        <f t="shared" si="24"/>
        <v>Unidentified</v>
      </c>
      <c r="C391" t="s">
        <v>87</v>
      </c>
      <c r="D391" t="s">
        <v>76</v>
      </c>
      <c r="E391">
        <v>1</v>
      </c>
      <c r="F391">
        <v>168824.4</v>
      </c>
      <c r="G391">
        <f t="shared" si="25"/>
        <v>168824.4</v>
      </c>
      <c r="H391" s="1">
        <v>45325</v>
      </c>
      <c r="I391" s="1" t="str">
        <f t="shared" si="26"/>
        <v>Feb</v>
      </c>
      <c r="J391" s="1" t="str">
        <f t="shared" si="27"/>
        <v>2024</v>
      </c>
      <c r="K391" t="s">
        <v>30</v>
      </c>
      <c r="L391" t="s">
        <v>251</v>
      </c>
    </row>
    <row r="392" spans="1:12" x14ac:dyDescent="0.25">
      <c r="A392" t="s">
        <v>1121</v>
      </c>
      <c r="B392" t="str">
        <f t="shared" si="24"/>
        <v>Unidentified</v>
      </c>
      <c r="C392" t="s">
        <v>93</v>
      </c>
      <c r="D392" t="s">
        <v>98</v>
      </c>
      <c r="E392">
        <v>77</v>
      </c>
      <c r="F392">
        <v>204517</v>
      </c>
      <c r="G392">
        <f t="shared" si="25"/>
        <v>15747809</v>
      </c>
      <c r="H392" s="1">
        <v>45677</v>
      </c>
      <c r="I392" s="1" t="str">
        <f t="shared" si="26"/>
        <v>Jan</v>
      </c>
      <c r="J392" s="1" t="str">
        <f t="shared" si="27"/>
        <v>2025</v>
      </c>
      <c r="K392" t="s">
        <v>30</v>
      </c>
      <c r="L392" t="s">
        <v>277</v>
      </c>
    </row>
    <row r="393" spans="1:12" x14ac:dyDescent="0.25">
      <c r="A393" t="s">
        <v>1121</v>
      </c>
      <c r="B393" t="str">
        <f t="shared" si="24"/>
        <v>Unidentified</v>
      </c>
      <c r="C393" t="s">
        <v>36</v>
      </c>
      <c r="D393" t="s">
        <v>76</v>
      </c>
      <c r="E393">
        <v>47</v>
      </c>
      <c r="F393">
        <v>155709.06</v>
      </c>
      <c r="G393">
        <f t="shared" si="25"/>
        <v>7318325.8200000003</v>
      </c>
      <c r="H393" s="1">
        <v>45616</v>
      </c>
      <c r="I393" s="1" t="str">
        <f t="shared" si="26"/>
        <v>Nov</v>
      </c>
      <c r="J393" s="1" t="str">
        <f t="shared" si="27"/>
        <v>2024</v>
      </c>
      <c r="K393" t="s">
        <v>51</v>
      </c>
      <c r="L393" t="s">
        <v>301</v>
      </c>
    </row>
    <row r="394" spans="1:12" x14ac:dyDescent="0.25">
      <c r="A394" t="s">
        <v>1121</v>
      </c>
      <c r="B394" t="str">
        <f t="shared" si="24"/>
        <v>Unidentified</v>
      </c>
      <c r="C394" t="s">
        <v>33</v>
      </c>
      <c r="D394" t="s">
        <v>59</v>
      </c>
      <c r="E394">
        <v>47</v>
      </c>
      <c r="F394">
        <v>11383.78</v>
      </c>
      <c r="G394">
        <f t="shared" si="25"/>
        <v>535037.66</v>
      </c>
      <c r="H394" s="1">
        <v>45808</v>
      </c>
      <c r="I394" s="1" t="str">
        <f t="shared" si="26"/>
        <v>May</v>
      </c>
      <c r="J394" s="1" t="str">
        <f t="shared" si="27"/>
        <v>2025</v>
      </c>
      <c r="K394" t="s">
        <v>15</v>
      </c>
      <c r="L394" t="s">
        <v>326</v>
      </c>
    </row>
    <row r="395" spans="1:12" x14ac:dyDescent="0.25">
      <c r="A395" t="s">
        <v>1121</v>
      </c>
      <c r="B395" t="str">
        <f t="shared" si="24"/>
        <v>Unidentified</v>
      </c>
      <c r="C395" t="s">
        <v>230</v>
      </c>
      <c r="D395" t="s">
        <v>76</v>
      </c>
      <c r="E395">
        <v>47</v>
      </c>
      <c r="F395">
        <v>136577.54999999999</v>
      </c>
      <c r="G395">
        <f t="shared" si="25"/>
        <v>6419144.8499999996</v>
      </c>
      <c r="H395" s="1">
        <v>45470</v>
      </c>
      <c r="I395" s="1" t="str">
        <f t="shared" si="26"/>
        <v>Jun</v>
      </c>
      <c r="J395" s="1" t="str">
        <f t="shared" si="27"/>
        <v>2024</v>
      </c>
      <c r="K395" t="s">
        <v>30</v>
      </c>
      <c r="L395" t="s">
        <v>351</v>
      </c>
    </row>
    <row r="396" spans="1:12" x14ac:dyDescent="0.25">
      <c r="A396" t="s">
        <v>1121</v>
      </c>
      <c r="B396" t="str">
        <f t="shared" si="24"/>
        <v>Unidentified</v>
      </c>
      <c r="C396" t="s">
        <v>36</v>
      </c>
      <c r="D396" t="s">
        <v>59</v>
      </c>
      <c r="E396">
        <v>47</v>
      </c>
      <c r="F396">
        <v>4718.22</v>
      </c>
      <c r="G396">
        <f t="shared" si="25"/>
        <v>221756.34000000003</v>
      </c>
      <c r="H396" s="1">
        <v>45538</v>
      </c>
      <c r="I396" s="1" t="str">
        <f t="shared" si="26"/>
        <v>Sep</v>
      </c>
      <c r="J396" s="1" t="str">
        <f t="shared" si="27"/>
        <v>2024</v>
      </c>
      <c r="K396" t="s">
        <v>30</v>
      </c>
      <c r="L396" t="s">
        <v>376</v>
      </c>
    </row>
    <row r="397" spans="1:12" x14ac:dyDescent="0.25">
      <c r="A397" t="s">
        <v>1121</v>
      </c>
      <c r="B397" t="str">
        <f t="shared" si="24"/>
        <v>Unidentified</v>
      </c>
      <c r="C397" t="s">
        <v>143</v>
      </c>
      <c r="D397" t="s">
        <v>59</v>
      </c>
      <c r="E397">
        <v>47</v>
      </c>
      <c r="F397">
        <v>29067.84</v>
      </c>
      <c r="G397">
        <f t="shared" si="25"/>
        <v>1366188.48</v>
      </c>
      <c r="H397" s="1">
        <v>44936</v>
      </c>
      <c r="I397" s="1" t="str">
        <f t="shared" si="26"/>
        <v>Jan</v>
      </c>
      <c r="J397" s="1" t="str">
        <f t="shared" si="27"/>
        <v>2023</v>
      </c>
      <c r="K397" t="s">
        <v>51</v>
      </c>
      <c r="L397" t="s">
        <v>1087</v>
      </c>
    </row>
    <row r="398" spans="1:12" x14ac:dyDescent="0.25">
      <c r="A398" t="s">
        <v>1121</v>
      </c>
      <c r="B398" t="str">
        <f t="shared" si="24"/>
        <v>Unidentified</v>
      </c>
      <c r="C398" t="s">
        <v>36</v>
      </c>
      <c r="D398" t="s">
        <v>14</v>
      </c>
      <c r="E398">
        <v>65</v>
      </c>
      <c r="F398">
        <v>108185.85</v>
      </c>
      <c r="G398">
        <f t="shared" si="25"/>
        <v>7032080.25</v>
      </c>
      <c r="H398" s="1">
        <v>45996</v>
      </c>
      <c r="I398" s="1" t="str">
        <f t="shared" si="26"/>
        <v>Dec</v>
      </c>
      <c r="J398" s="1" t="str">
        <f t="shared" si="27"/>
        <v>2025</v>
      </c>
      <c r="K398" t="s">
        <v>30</v>
      </c>
      <c r="L398" t="s">
        <v>425</v>
      </c>
    </row>
    <row r="399" spans="1:12" x14ac:dyDescent="0.25">
      <c r="A399" t="s">
        <v>1121</v>
      </c>
      <c r="B399" t="str">
        <f t="shared" si="24"/>
        <v>Unidentified</v>
      </c>
      <c r="C399" t="s">
        <v>22</v>
      </c>
      <c r="D399" t="s">
        <v>19</v>
      </c>
      <c r="E399">
        <v>47</v>
      </c>
      <c r="F399">
        <v>110579.4</v>
      </c>
      <c r="G399">
        <f t="shared" si="25"/>
        <v>5197231.8</v>
      </c>
      <c r="H399" s="1">
        <v>45058</v>
      </c>
      <c r="I399" s="1" t="str">
        <f t="shared" si="26"/>
        <v>May</v>
      </c>
      <c r="J399" s="1" t="str">
        <f t="shared" si="27"/>
        <v>2023</v>
      </c>
      <c r="K399" t="s">
        <v>11</v>
      </c>
      <c r="L399" t="s">
        <v>450</v>
      </c>
    </row>
    <row r="400" spans="1:12" x14ac:dyDescent="0.25">
      <c r="A400" t="s">
        <v>1121</v>
      </c>
      <c r="B400" t="str">
        <f t="shared" si="24"/>
        <v>Unidentified</v>
      </c>
      <c r="C400" t="s">
        <v>33</v>
      </c>
      <c r="D400" t="s">
        <v>98</v>
      </c>
      <c r="E400">
        <v>47</v>
      </c>
      <c r="F400">
        <v>247768.25</v>
      </c>
      <c r="G400">
        <f t="shared" si="25"/>
        <v>11645107.75</v>
      </c>
      <c r="H400" s="1">
        <v>45451</v>
      </c>
      <c r="I400" s="1" t="str">
        <f t="shared" si="26"/>
        <v>Jun</v>
      </c>
      <c r="J400" s="1" t="str">
        <f t="shared" si="27"/>
        <v>2024</v>
      </c>
      <c r="K400" t="s">
        <v>30</v>
      </c>
      <c r="L400" t="s">
        <v>475</v>
      </c>
    </row>
    <row r="401" spans="1:12" x14ac:dyDescent="0.25">
      <c r="A401" t="s">
        <v>1121</v>
      </c>
      <c r="B401" t="str">
        <f t="shared" si="24"/>
        <v>Unidentified</v>
      </c>
      <c r="C401" t="s">
        <v>22</v>
      </c>
      <c r="D401" t="s">
        <v>76</v>
      </c>
      <c r="E401">
        <v>47</v>
      </c>
      <c r="F401">
        <v>61045.96</v>
      </c>
      <c r="G401">
        <f t="shared" si="25"/>
        <v>2869160.12</v>
      </c>
      <c r="H401" s="1">
        <v>45626</v>
      </c>
      <c r="I401" s="1" t="str">
        <f t="shared" si="26"/>
        <v>Nov</v>
      </c>
      <c r="J401" s="1" t="str">
        <f t="shared" si="27"/>
        <v>2024</v>
      </c>
      <c r="K401" t="s">
        <v>30</v>
      </c>
      <c r="L401" t="s">
        <v>499</v>
      </c>
    </row>
    <row r="402" spans="1:12" x14ac:dyDescent="0.25">
      <c r="A402" t="s">
        <v>1121</v>
      </c>
      <c r="B402" t="str">
        <f t="shared" si="24"/>
        <v>Unidentified</v>
      </c>
      <c r="C402" t="s">
        <v>36</v>
      </c>
      <c r="D402" t="s">
        <v>98</v>
      </c>
      <c r="E402">
        <v>47</v>
      </c>
      <c r="F402">
        <v>124919.66</v>
      </c>
      <c r="G402">
        <f t="shared" si="25"/>
        <v>5871224.0200000005</v>
      </c>
      <c r="H402" s="1">
        <v>45402</v>
      </c>
      <c r="I402" s="1" t="str">
        <f t="shared" si="26"/>
        <v>Apr</v>
      </c>
      <c r="J402" s="1" t="str">
        <f t="shared" si="27"/>
        <v>2024</v>
      </c>
      <c r="K402" t="s">
        <v>30</v>
      </c>
      <c r="L402" t="s">
        <v>524</v>
      </c>
    </row>
    <row r="403" spans="1:12" x14ac:dyDescent="0.25">
      <c r="A403" t="s">
        <v>1121</v>
      </c>
      <c r="B403" t="str">
        <f t="shared" si="24"/>
        <v>Unidentified</v>
      </c>
      <c r="C403" t="s">
        <v>49</v>
      </c>
      <c r="D403" t="s">
        <v>29</v>
      </c>
      <c r="E403">
        <v>49</v>
      </c>
      <c r="F403">
        <v>155623.85999999999</v>
      </c>
      <c r="G403">
        <f t="shared" si="25"/>
        <v>7625569.1399999997</v>
      </c>
      <c r="H403" s="1">
        <v>45086</v>
      </c>
      <c r="I403" s="1" t="str">
        <f t="shared" si="26"/>
        <v>Jun</v>
      </c>
      <c r="J403" s="1" t="str">
        <f t="shared" si="27"/>
        <v>2023</v>
      </c>
      <c r="K403" t="s">
        <v>30</v>
      </c>
      <c r="L403" t="s">
        <v>548</v>
      </c>
    </row>
    <row r="404" spans="1:12" x14ac:dyDescent="0.25">
      <c r="A404" t="s">
        <v>1121</v>
      </c>
      <c r="B404" t="str">
        <f t="shared" si="24"/>
        <v>Unidentified</v>
      </c>
      <c r="C404" t="s">
        <v>143</v>
      </c>
      <c r="D404" t="s">
        <v>50</v>
      </c>
      <c r="E404">
        <v>47</v>
      </c>
      <c r="F404">
        <v>112651.05</v>
      </c>
      <c r="G404">
        <f t="shared" si="25"/>
        <v>5294599.3500000006</v>
      </c>
      <c r="H404" s="1">
        <v>45193</v>
      </c>
      <c r="I404" s="1" t="str">
        <f t="shared" si="26"/>
        <v>Sep</v>
      </c>
      <c r="J404" s="1" t="str">
        <f t="shared" si="27"/>
        <v>2023</v>
      </c>
      <c r="K404" t="s">
        <v>30</v>
      </c>
      <c r="L404" t="s">
        <v>572</v>
      </c>
    </row>
    <row r="405" spans="1:12" x14ac:dyDescent="0.25">
      <c r="A405" t="s">
        <v>1121</v>
      </c>
      <c r="B405" t="str">
        <f t="shared" si="24"/>
        <v>Unidentified</v>
      </c>
      <c r="C405" t="s">
        <v>93</v>
      </c>
      <c r="D405" t="s">
        <v>50</v>
      </c>
      <c r="E405">
        <v>47</v>
      </c>
      <c r="F405">
        <v>118221.06</v>
      </c>
      <c r="G405">
        <f t="shared" si="25"/>
        <v>5556389.8200000003</v>
      </c>
      <c r="H405" s="1">
        <v>45429</v>
      </c>
      <c r="I405" s="1" t="str">
        <f t="shared" si="26"/>
        <v>May</v>
      </c>
      <c r="J405" s="1" t="str">
        <f t="shared" si="27"/>
        <v>2024</v>
      </c>
      <c r="K405" t="s">
        <v>30</v>
      </c>
      <c r="L405" t="s">
        <v>597</v>
      </c>
    </row>
    <row r="406" spans="1:12" x14ac:dyDescent="0.25">
      <c r="A406" t="s">
        <v>1121</v>
      </c>
      <c r="B406" t="str">
        <f t="shared" si="24"/>
        <v>Unidentified</v>
      </c>
      <c r="C406" t="s">
        <v>87</v>
      </c>
      <c r="D406" t="s">
        <v>19</v>
      </c>
      <c r="E406">
        <v>47</v>
      </c>
      <c r="F406">
        <v>46958.85</v>
      </c>
      <c r="G406">
        <f t="shared" si="25"/>
        <v>2207065.9499999997</v>
      </c>
      <c r="H406" s="1">
        <v>45588</v>
      </c>
      <c r="I406" s="1" t="str">
        <f t="shared" si="26"/>
        <v>Oct</v>
      </c>
      <c r="J406" s="1" t="str">
        <f t="shared" si="27"/>
        <v>2024</v>
      </c>
      <c r="K406" t="s">
        <v>15</v>
      </c>
      <c r="L406" t="s">
        <v>620</v>
      </c>
    </row>
    <row r="407" spans="1:12" x14ac:dyDescent="0.25">
      <c r="A407" t="s">
        <v>1121</v>
      </c>
      <c r="B407" t="str">
        <f t="shared" si="24"/>
        <v>Unidentified</v>
      </c>
      <c r="C407" t="s">
        <v>22</v>
      </c>
      <c r="D407" t="s">
        <v>19</v>
      </c>
      <c r="E407">
        <v>47</v>
      </c>
      <c r="F407">
        <v>178386.27</v>
      </c>
      <c r="G407">
        <f t="shared" si="25"/>
        <v>8384154.6899999995</v>
      </c>
      <c r="H407" s="1">
        <v>45350</v>
      </c>
      <c r="I407" s="1" t="str">
        <f t="shared" si="26"/>
        <v>Feb</v>
      </c>
      <c r="J407" s="1" t="str">
        <f t="shared" si="27"/>
        <v>2024</v>
      </c>
      <c r="K407" t="s">
        <v>30</v>
      </c>
      <c r="L407" t="s">
        <v>644</v>
      </c>
    </row>
    <row r="408" spans="1:12" x14ac:dyDescent="0.25">
      <c r="A408" t="s">
        <v>1121</v>
      </c>
      <c r="B408" t="str">
        <f t="shared" si="24"/>
        <v>Unidentified</v>
      </c>
      <c r="C408" t="s">
        <v>39</v>
      </c>
      <c r="D408" t="s">
        <v>19</v>
      </c>
      <c r="E408">
        <v>47</v>
      </c>
      <c r="F408">
        <v>70631.37</v>
      </c>
      <c r="G408">
        <f t="shared" si="25"/>
        <v>3319674.3899999997</v>
      </c>
      <c r="H408" s="1">
        <v>45130</v>
      </c>
      <c r="I408" s="1" t="str">
        <f t="shared" si="26"/>
        <v>Jul</v>
      </c>
      <c r="J408" s="1" t="str">
        <f t="shared" si="27"/>
        <v>2023</v>
      </c>
      <c r="K408" t="s">
        <v>15</v>
      </c>
      <c r="L408" t="s">
        <v>668</v>
      </c>
    </row>
    <row r="409" spans="1:12" x14ac:dyDescent="0.25">
      <c r="A409" t="s">
        <v>1121</v>
      </c>
      <c r="B409" t="str">
        <f t="shared" si="24"/>
        <v>Unidentified</v>
      </c>
      <c r="C409" t="s">
        <v>36</v>
      </c>
      <c r="D409" t="s">
        <v>25</v>
      </c>
      <c r="E409">
        <v>47</v>
      </c>
      <c r="F409">
        <v>167237.07999999999</v>
      </c>
      <c r="G409">
        <f t="shared" si="25"/>
        <v>7860142.7599999998</v>
      </c>
      <c r="H409" s="1">
        <v>45576</v>
      </c>
      <c r="I409" s="1" t="str">
        <f t="shared" si="26"/>
        <v>Oct</v>
      </c>
      <c r="J409" s="1" t="str">
        <f t="shared" si="27"/>
        <v>2024</v>
      </c>
      <c r="K409" t="s">
        <v>30</v>
      </c>
      <c r="L409" t="s">
        <v>692</v>
      </c>
    </row>
    <row r="410" spans="1:12" x14ac:dyDescent="0.25">
      <c r="A410" t="s">
        <v>1121</v>
      </c>
      <c r="B410" t="str">
        <f t="shared" si="24"/>
        <v>Unidentified</v>
      </c>
      <c r="C410" t="s">
        <v>28</v>
      </c>
      <c r="D410" t="s">
        <v>19</v>
      </c>
      <c r="E410">
        <v>47</v>
      </c>
      <c r="F410">
        <v>209044.37</v>
      </c>
      <c r="G410">
        <f t="shared" si="25"/>
        <v>9825085.3900000006</v>
      </c>
      <c r="H410" s="1">
        <v>45453</v>
      </c>
      <c r="I410" s="1" t="str">
        <f t="shared" si="26"/>
        <v>Jun</v>
      </c>
      <c r="J410" s="1" t="str">
        <f t="shared" si="27"/>
        <v>2024</v>
      </c>
      <c r="K410" t="s">
        <v>15</v>
      </c>
      <c r="L410" t="s">
        <v>716</v>
      </c>
    </row>
    <row r="411" spans="1:12" x14ac:dyDescent="0.25">
      <c r="A411" t="s">
        <v>1121</v>
      </c>
      <c r="B411" t="str">
        <f t="shared" si="24"/>
        <v>Unidentified</v>
      </c>
      <c r="C411" t="s">
        <v>46</v>
      </c>
      <c r="D411" t="s">
        <v>98</v>
      </c>
      <c r="E411">
        <v>35</v>
      </c>
      <c r="F411">
        <v>125244.11</v>
      </c>
      <c r="G411">
        <f t="shared" si="25"/>
        <v>4383543.8499999996</v>
      </c>
      <c r="H411" s="1">
        <v>45306</v>
      </c>
      <c r="I411" s="1" t="str">
        <f t="shared" si="26"/>
        <v>Jan</v>
      </c>
      <c r="J411" s="1" t="str">
        <f t="shared" si="27"/>
        <v>2024</v>
      </c>
      <c r="K411" t="s">
        <v>30</v>
      </c>
      <c r="L411" t="s">
        <v>1087</v>
      </c>
    </row>
    <row r="412" spans="1:12" x14ac:dyDescent="0.25">
      <c r="A412" t="s">
        <v>1121</v>
      </c>
      <c r="B412" t="str">
        <f t="shared" si="24"/>
        <v>Unidentified</v>
      </c>
      <c r="C412" t="s">
        <v>33</v>
      </c>
      <c r="D412" t="s">
        <v>29</v>
      </c>
      <c r="E412">
        <v>14</v>
      </c>
      <c r="F412">
        <v>181688.35</v>
      </c>
      <c r="G412">
        <f t="shared" si="25"/>
        <v>2543636.9</v>
      </c>
      <c r="H412" s="1">
        <v>45276</v>
      </c>
      <c r="I412" s="1" t="str">
        <f t="shared" si="26"/>
        <v>Dec</v>
      </c>
      <c r="J412" s="1" t="str">
        <f t="shared" si="27"/>
        <v>2023</v>
      </c>
      <c r="K412" t="s">
        <v>51</v>
      </c>
      <c r="L412" t="s">
        <v>765</v>
      </c>
    </row>
    <row r="413" spans="1:12" x14ac:dyDescent="0.25">
      <c r="A413" t="s">
        <v>1121</v>
      </c>
      <c r="B413" t="str">
        <f t="shared" si="24"/>
        <v>Unidentified</v>
      </c>
      <c r="C413" t="s">
        <v>119</v>
      </c>
      <c r="D413" t="s">
        <v>59</v>
      </c>
      <c r="E413">
        <v>47</v>
      </c>
      <c r="F413">
        <v>156399.29999999999</v>
      </c>
      <c r="G413">
        <f t="shared" si="25"/>
        <v>7350767.0999999996</v>
      </c>
      <c r="H413" s="1">
        <v>45225</v>
      </c>
      <c r="I413" s="1" t="str">
        <f t="shared" si="26"/>
        <v>Oct</v>
      </c>
      <c r="J413" s="1" t="str">
        <f t="shared" si="27"/>
        <v>2023</v>
      </c>
      <c r="K413" t="s">
        <v>51</v>
      </c>
      <c r="L413" t="s">
        <v>789</v>
      </c>
    </row>
    <row r="414" spans="1:12" x14ac:dyDescent="0.25">
      <c r="A414" t="s">
        <v>1121</v>
      </c>
      <c r="B414" t="str">
        <f t="shared" si="24"/>
        <v>Unidentified</v>
      </c>
      <c r="C414" t="s">
        <v>93</v>
      </c>
      <c r="D414" t="s">
        <v>76</v>
      </c>
      <c r="E414">
        <v>47</v>
      </c>
      <c r="F414">
        <v>140142.01</v>
      </c>
      <c r="G414">
        <f t="shared" si="25"/>
        <v>6586674.4700000007</v>
      </c>
      <c r="H414" s="1">
        <v>45532</v>
      </c>
      <c r="I414" s="1" t="str">
        <f t="shared" si="26"/>
        <v>Aug</v>
      </c>
      <c r="J414" s="1" t="str">
        <f t="shared" si="27"/>
        <v>2024</v>
      </c>
      <c r="K414" t="s">
        <v>11</v>
      </c>
      <c r="L414" t="s">
        <v>813</v>
      </c>
    </row>
    <row r="415" spans="1:12" x14ac:dyDescent="0.25">
      <c r="A415" t="s">
        <v>1121</v>
      </c>
      <c r="B415" t="str">
        <f t="shared" si="24"/>
        <v>Unidentified</v>
      </c>
      <c r="C415" t="s">
        <v>22</v>
      </c>
      <c r="D415" t="s">
        <v>50</v>
      </c>
      <c r="E415">
        <v>47</v>
      </c>
      <c r="F415">
        <v>14191.78</v>
      </c>
      <c r="G415">
        <f t="shared" si="25"/>
        <v>667013.66</v>
      </c>
      <c r="H415" s="1">
        <v>45591</v>
      </c>
      <c r="I415" s="1" t="str">
        <f t="shared" si="26"/>
        <v>Oct</v>
      </c>
      <c r="J415" s="1" t="str">
        <f t="shared" si="27"/>
        <v>2024</v>
      </c>
      <c r="K415" t="s">
        <v>15</v>
      </c>
      <c r="L415" t="s">
        <v>837</v>
      </c>
    </row>
    <row r="416" spans="1:12" x14ac:dyDescent="0.25">
      <c r="A416" t="s">
        <v>1121</v>
      </c>
      <c r="B416" t="str">
        <f t="shared" si="24"/>
        <v>Unidentified</v>
      </c>
      <c r="C416" t="s">
        <v>18</v>
      </c>
      <c r="D416" t="s">
        <v>14</v>
      </c>
      <c r="E416">
        <v>47</v>
      </c>
      <c r="F416">
        <v>165417.44</v>
      </c>
      <c r="G416">
        <f t="shared" si="25"/>
        <v>7774619.6799999997</v>
      </c>
      <c r="H416" s="1">
        <v>45654</v>
      </c>
      <c r="I416" s="1" t="str">
        <f t="shared" si="26"/>
        <v>Dec</v>
      </c>
      <c r="J416" s="1" t="str">
        <f t="shared" si="27"/>
        <v>2024</v>
      </c>
      <c r="K416" t="s">
        <v>30</v>
      </c>
      <c r="L416" t="s">
        <v>861</v>
      </c>
    </row>
    <row r="417" spans="1:12" x14ac:dyDescent="0.25">
      <c r="A417" t="s">
        <v>1121</v>
      </c>
      <c r="B417" t="str">
        <f t="shared" si="24"/>
        <v>Unidentified</v>
      </c>
      <c r="C417" t="s">
        <v>33</v>
      </c>
      <c r="D417" t="s">
        <v>25</v>
      </c>
      <c r="E417">
        <v>47</v>
      </c>
      <c r="F417">
        <v>164190.63</v>
      </c>
      <c r="G417">
        <f t="shared" si="25"/>
        <v>7716959.6100000003</v>
      </c>
      <c r="H417" s="1">
        <v>45212</v>
      </c>
      <c r="I417" s="1" t="str">
        <f t="shared" si="26"/>
        <v>Oct</v>
      </c>
      <c r="J417" s="1" t="str">
        <f t="shared" si="27"/>
        <v>2023</v>
      </c>
      <c r="K417" t="s">
        <v>30</v>
      </c>
      <c r="L417" t="s">
        <v>886</v>
      </c>
    </row>
    <row r="418" spans="1:12" x14ac:dyDescent="0.25">
      <c r="A418" t="s">
        <v>1121</v>
      </c>
      <c r="B418" t="str">
        <f t="shared" si="24"/>
        <v>Unidentified</v>
      </c>
      <c r="C418" t="s">
        <v>49</v>
      </c>
      <c r="D418" t="s">
        <v>19</v>
      </c>
      <c r="E418">
        <v>8</v>
      </c>
      <c r="F418">
        <v>189395.14</v>
      </c>
      <c r="G418">
        <f t="shared" si="25"/>
        <v>1515161.12</v>
      </c>
      <c r="H418" s="1">
        <v>45268</v>
      </c>
      <c r="I418" s="1" t="str">
        <f t="shared" si="26"/>
        <v>Dec</v>
      </c>
      <c r="J418" s="1" t="str">
        <f t="shared" si="27"/>
        <v>2023</v>
      </c>
      <c r="K418" t="s">
        <v>51</v>
      </c>
      <c r="L418" t="s">
        <v>910</v>
      </c>
    </row>
    <row r="419" spans="1:12" x14ac:dyDescent="0.25">
      <c r="A419" t="s">
        <v>1121</v>
      </c>
      <c r="B419" t="str">
        <f t="shared" si="24"/>
        <v>Unidentified</v>
      </c>
      <c r="C419" t="s">
        <v>143</v>
      </c>
      <c r="D419" t="s">
        <v>25</v>
      </c>
      <c r="E419">
        <v>83</v>
      </c>
      <c r="F419">
        <v>123695.88</v>
      </c>
      <c r="G419">
        <f t="shared" si="25"/>
        <v>10266758.040000001</v>
      </c>
      <c r="H419" s="1">
        <v>45761</v>
      </c>
      <c r="I419" s="1" t="str">
        <f t="shared" si="26"/>
        <v>Apr</v>
      </c>
      <c r="J419" s="1" t="str">
        <f t="shared" si="27"/>
        <v>2025</v>
      </c>
      <c r="K419" t="s">
        <v>30</v>
      </c>
      <c r="L419" t="s">
        <v>934</v>
      </c>
    </row>
    <row r="420" spans="1:12" x14ac:dyDescent="0.25">
      <c r="A420" t="s">
        <v>1121</v>
      </c>
      <c r="B420" t="str">
        <f t="shared" si="24"/>
        <v>Unidentified</v>
      </c>
      <c r="C420" t="s">
        <v>66</v>
      </c>
      <c r="D420" t="s">
        <v>25</v>
      </c>
      <c r="E420">
        <v>47</v>
      </c>
      <c r="F420">
        <v>157553.43</v>
      </c>
      <c r="G420">
        <f t="shared" si="25"/>
        <v>7405011.21</v>
      </c>
      <c r="H420" s="1">
        <v>45306</v>
      </c>
      <c r="I420" s="1" t="str">
        <f t="shared" si="26"/>
        <v>Jan</v>
      </c>
      <c r="J420" s="1" t="str">
        <f t="shared" si="27"/>
        <v>2024</v>
      </c>
      <c r="K420" t="s">
        <v>30</v>
      </c>
      <c r="L420" t="s">
        <v>958</v>
      </c>
    </row>
    <row r="421" spans="1:12" x14ac:dyDescent="0.25">
      <c r="A421" t="s">
        <v>1121</v>
      </c>
      <c r="B421" t="str">
        <f t="shared" si="24"/>
        <v>Unidentified</v>
      </c>
      <c r="C421" t="s">
        <v>83</v>
      </c>
      <c r="D421" t="s">
        <v>25</v>
      </c>
      <c r="E421">
        <v>47</v>
      </c>
      <c r="F421">
        <v>248504.59</v>
      </c>
      <c r="G421">
        <f t="shared" si="25"/>
        <v>11679715.73</v>
      </c>
      <c r="H421" s="1">
        <v>45603</v>
      </c>
      <c r="I421" s="1" t="str">
        <f t="shared" si="26"/>
        <v>Nov</v>
      </c>
      <c r="J421" s="1" t="str">
        <f t="shared" si="27"/>
        <v>2024</v>
      </c>
      <c r="K421" t="s">
        <v>30</v>
      </c>
      <c r="L421" t="s">
        <v>982</v>
      </c>
    </row>
    <row r="422" spans="1:12" x14ac:dyDescent="0.25">
      <c r="A422" t="s">
        <v>1121</v>
      </c>
      <c r="B422" t="str">
        <f t="shared" si="24"/>
        <v>Unidentified</v>
      </c>
      <c r="C422" t="s">
        <v>22</v>
      </c>
      <c r="D422" t="s">
        <v>50</v>
      </c>
      <c r="E422">
        <v>47</v>
      </c>
      <c r="F422">
        <v>193649.72</v>
      </c>
      <c r="G422">
        <f t="shared" si="25"/>
        <v>9101536.8399999999</v>
      </c>
      <c r="H422" s="1">
        <v>45800</v>
      </c>
      <c r="I422" s="1" t="str">
        <f t="shared" si="26"/>
        <v>May</v>
      </c>
      <c r="J422" s="1" t="str">
        <f t="shared" si="27"/>
        <v>2025</v>
      </c>
      <c r="K422" t="s">
        <v>11</v>
      </c>
      <c r="L422" t="s">
        <v>1006</v>
      </c>
    </row>
    <row r="423" spans="1:12" x14ac:dyDescent="0.25">
      <c r="A423" t="s">
        <v>1121</v>
      </c>
      <c r="B423" t="str">
        <f t="shared" si="24"/>
        <v>Unidentified</v>
      </c>
      <c r="C423" t="s">
        <v>87</v>
      </c>
      <c r="D423" t="s">
        <v>98</v>
      </c>
      <c r="E423">
        <v>47</v>
      </c>
      <c r="F423">
        <v>155709.06</v>
      </c>
      <c r="G423">
        <f t="shared" si="25"/>
        <v>7318325.8200000003</v>
      </c>
      <c r="H423" s="1">
        <v>45187</v>
      </c>
      <c r="I423" s="1" t="str">
        <f t="shared" si="26"/>
        <v>Sep</v>
      </c>
      <c r="J423" s="1" t="str">
        <f t="shared" si="27"/>
        <v>2023</v>
      </c>
      <c r="K423" t="s">
        <v>30</v>
      </c>
      <c r="L423" t="s">
        <v>1030</v>
      </c>
    </row>
    <row r="424" spans="1:12" x14ac:dyDescent="0.25">
      <c r="A424" t="s">
        <v>1121</v>
      </c>
      <c r="B424" t="str">
        <f t="shared" si="24"/>
        <v>Unidentified</v>
      </c>
      <c r="C424" t="s">
        <v>83</v>
      </c>
      <c r="D424" t="s">
        <v>50</v>
      </c>
      <c r="E424">
        <v>47</v>
      </c>
      <c r="F424">
        <v>278698.03999999998</v>
      </c>
      <c r="G424">
        <f t="shared" si="25"/>
        <v>13098807.879999999</v>
      </c>
      <c r="H424" s="1">
        <v>45442</v>
      </c>
      <c r="I424" s="1" t="str">
        <f t="shared" si="26"/>
        <v>May</v>
      </c>
      <c r="J424" s="1" t="str">
        <f t="shared" si="27"/>
        <v>2024</v>
      </c>
      <c r="K424" t="s">
        <v>15</v>
      </c>
      <c r="L424" t="s">
        <v>1054</v>
      </c>
    </row>
    <row r="425" spans="1:12" x14ac:dyDescent="0.25">
      <c r="A425" t="s">
        <v>1121</v>
      </c>
      <c r="B425" t="str">
        <f t="shared" si="24"/>
        <v>Unidentified</v>
      </c>
      <c r="C425" t="s">
        <v>66</v>
      </c>
      <c r="D425" t="s">
        <v>25</v>
      </c>
      <c r="E425">
        <v>47</v>
      </c>
      <c r="F425">
        <v>223764.24</v>
      </c>
      <c r="G425">
        <f t="shared" si="25"/>
        <v>10516919.279999999</v>
      </c>
      <c r="H425" s="1">
        <v>45963</v>
      </c>
      <c r="I425" s="1" t="str">
        <f t="shared" si="26"/>
        <v>Nov</v>
      </c>
      <c r="J425" s="1" t="str">
        <f t="shared" si="27"/>
        <v>2025</v>
      </c>
      <c r="K425" t="s">
        <v>15</v>
      </c>
      <c r="L425" t="s">
        <v>1087</v>
      </c>
    </row>
    <row r="426" spans="1:12" x14ac:dyDescent="0.25">
      <c r="A426" t="s">
        <v>17</v>
      </c>
      <c r="B426" t="str">
        <f t="shared" si="24"/>
        <v>Identified</v>
      </c>
      <c r="C426" t="s">
        <v>18</v>
      </c>
      <c r="D426" t="s">
        <v>19</v>
      </c>
      <c r="E426">
        <v>47</v>
      </c>
      <c r="F426">
        <v>42364.41</v>
      </c>
      <c r="G426">
        <f t="shared" si="25"/>
        <v>1991127.2700000003</v>
      </c>
      <c r="H426" s="1">
        <v>45577</v>
      </c>
      <c r="I426" s="1" t="str">
        <f t="shared" si="26"/>
        <v>Oct</v>
      </c>
      <c r="J426" s="1" t="str">
        <f t="shared" si="27"/>
        <v>2024</v>
      </c>
      <c r="K426" t="s">
        <v>30</v>
      </c>
      <c r="L426" t="s">
        <v>20</v>
      </c>
    </row>
    <row r="427" spans="1:12" x14ac:dyDescent="0.25">
      <c r="A427" t="s">
        <v>570</v>
      </c>
      <c r="B427" t="str">
        <f t="shared" si="24"/>
        <v>Identified</v>
      </c>
      <c r="C427" t="s">
        <v>57</v>
      </c>
      <c r="D427" t="s">
        <v>19</v>
      </c>
      <c r="E427">
        <v>47</v>
      </c>
      <c r="F427">
        <v>289152.88</v>
      </c>
      <c r="G427">
        <f t="shared" si="25"/>
        <v>13590185.359999999</v>
      </c>
      <c r="H427" s="1">
        <v>45217</v>
      </c>
      <c r="I427" s="1" t="str">
        <f t="shared" si="26"/>
        <v>Oct</v>
      </c>
      <c r="J427" s="1" t="str">
        <f t="shared" si="27"/>
        <v>2023</v>
      </c>
      <c r="K427" t="s">
        <v>30</v>
      </c>
      <c r="L427" t="s">
        <v>571</v>
      </c>
    </row>
    <row r="428" spans="1:12" x14ac:dyDescent="0.25">
      <c r="A428" t="s">
        <v>367</v>
      </c>
      <c r="B428" t="str">
        <f t="shared" si="24"/>
        <v>Identified</v>
      </c>
      <c r="C428" t="s">
        <v>87</v>
      </c>
      <c r="D428" t="s">
        <v>25</v>
      </c>
      <c r="E428">
        <v>68</v>
      </c>
      <c r="F428">
        <v>242739.76</v>
      </c>
      <c r="G428">
        <f t="shared" si="25"/>
        <v>16506303.68</v>
      </c>
      <c r="H428" s="1">
        <v>45419</v>
      </c>
      <c r="I428" s="1" t="str">
        <f t="shared" si="26"/>
        <v>May</v>
      </c>
      <c r="J428" s="1" t="str">
        <f t="shared" si="27"/>
        <v>2024</v>
      </c>
      <c r="K428" t="s">
        <v>15</v>
      </c>
      <c r="L428" t="s">
        <v>368</v>
      </c>
    </row>
    <row r="429" spans="1:12" x14ac:dyDescent="0.25">
      <c r="A429" t="s">
        <v>790</v>
      </c>
      <c r="B429" t="str">
        <f t="shared" si="24"/>
        <v>Identified</v>
      </c>
      <c r="C429" t="s">
        <v>49</v>
      </c>
      <c r="D429" t="s">
        <v>50</v>
      </c>
      <c r="E429">
        <v>47</v>
      </c>
      <c r="F429">
        <v>57412.1</v>
      </c>
      <c r="G429">
        <f t="shared" si="25"/>
        <v>2698368.6999999997</v>
      </c>
      <c r="H429" s="1">
        <v>45520</v>
      </c>
      <c r="I429" s="1" t="str">
        <f t="shared" si="26"/>
        <v>Aug</v>
      </c>
      <c r="J429" s="1" t="str">
        <f t="shared" si="27"/>
        <v>2024</v>
      </c>
      <c r="K429" t="s">
        <v>51</v>
      </c>
      <c r="L429" t="s">
        <v>791</v>
      </c>
    </row>
    <row r="430" spans="1:12" x14ac:dyDescent="0.25">
      <c r="A430" t="s">
        <v>777</v>
      </c>
      <c r="B430" t="str">
        <f t="shared" si="24"/>
        <v>Identified</v>
      </c>
      <c r="C430" t="s">
        <v>36</v>
      </c>
      <c r="D430" t="s">
        <v>76</v>
      </c>
      <c r="E430">
        <v>58</v>
      </c>
      <c r="F430">
        <v>65496.45</v>
      </c>
      <c r="G430">
        <f t="shared" si="25"/>
        <v>3798794.0999999996</v>
      </c>
      <c r="H430" s="1">
        <v>45795</v>
      </c>
      <c r="I430" s="1" t="str">
        <f t="shared" si="26"/>
        <v>May</v>
      </c>
      <c r="J430" s="1" t="str">
        <f t="shared" si="27"/>
        <v>2025</v>
      </c>
      <c r="K430" t="s">
        <v>11</v>
      </c>
      <c r="L430" t="s">
        <v>778</v>
      </c>
    </row>
    <row r="431" spans="1:12" x14ac:dyDescent="0.25">
      <c r="A431" t="s">
        <v>348</v>
      </c>
      <c r="B431" t="str">
        <f t="shared" si="24"/>
        <v>Identified</v>
      </c>
      <c r="C431" t="s">
        <v>66</v>
      </c>
      <c r="D431" t="s">
        <v>50</v>
      </c>
      <c r="E431">
        <v>47</v>
      </c>
      <c r="F431">
        <v>278572.23</v>
      </c>
      <c r="G431">
        <f t="shared" si="25"/>
        <v>13092894.809999999</v>
      </c>
      <c r="H431" s="1">
        <v>45433</v>
      </c>
      <c r="I431" s="1" t="str">
        <f t="shared" si="26"/>
        <v>May</v>
      </c>
      <c r="J431" s="1" t="str">
        <f t="shared" si="27"/>
        <v>2024</v>
      </c>
      <c r="K431" t="s">
        <v>30</v>
      </c>
      <c r="L431" t="s">
        <v>1087</v>
      </c>
    </row>
    <row r="432" spans="1:12" x14ac:dyDescent="0.25">
      <c r="A432" t="s">
        <v>719</v>
      </c>
      <c r="B432" t="str">
        <f t="shared" si="24"/>
        <v>Identified</v>
      </c>
      <c r="C432" t="s">
        <v>143</v>
      </c>
      <c r="D432" t="s">
        <v>29</v>
      </c>
      <c r="E432">
        <v>47</v>
      </c>
      <c r="F432">
        <v>90316.6</v>
      </c>
      <c r="G432">
        <f t="shared" si="25"/>
        <v>4244880.2</v>
      </c>
      <c r="H432" s="1">
        <v>45250</v>
      </c>
      <c r="I432" s="1" t="str">
        <f t="shared" si="26"/>
        <v>Nov</v>
      </c>
      <c r="J432" s="1" t="str">
        <f t="shared" si="27"/>
        <v>2023</v>
      </c>
      <c r="K432" t="s">
        <v>30</v>
      </c>
      <c r="L432" t="s">
        <v>720</v>
      </c>
    </row>
    <row r="433" spans="1:12" x14ac:dyDescent="0.25">
      <c r="A433" t="s">
        <v>608</v>
      </c>
      <c r="B433" t="str">
        <f t="shared" si="24"/>
        <v>Identified</v>
      </c>
      <c r="C433" t="s">
        <v>66</v>
      </c>
      <c r="D433" t="s">
        <v>19</v>
      </c>
      <c r="E433">
        <v>45</v>
      </c>
      <c r="F433">
        <v>293557.96000000002</v>
      </c>
      <c r="G433">
        <f t="shared" si="25"/>
        <v>13210108.200000001</v>
      </c>
      <c r="H433" s="1">
        <v>45672</v>
      </c>
      <c r="I433" s="1" t="str">
        <f t="shared" si="26"/>
        <v>Jan</v>
      </c>
      <c r="J433" s="1" t="str">
        <f t="shared" si="27"/>
        <v>2025</v>
      </c>
      <c r="K433" t="s">
        <v>51</v>
      </c>
      <c r="L433" t="s">
        <v>609</v>
      </c>
    </row>
    <row r="434" spans="1:12" x14ac:dyDescent="0.25">
      <c r="A434" t="s">
        <v>80</v>
      </c>
      <c r="B434" t="str">
        <f t="shared" si="24"/>
        <v>Identified</v>
      </c>
      <c r="C434" t="s">
        <v>22</v>
      </c>
      <c r="D434" t="s">
        <v>29</v>
      </c>
      <c r="E434">
        <v>47</v>
      </c>
      <c r="F434">
        <v>188963.51</v>
      </c>
      <c r="G434">
        <f t="shared" si="25"/>
        <v>8881284.9700000007</v>
      </c>
      <c r="H434" s="1">
        <v>45212</v>
      </c>
      <c r="I434" s="1" t="str">
        <f t="shared" si="26"/>
        <v>Oct</v>
      </c>
      <c r="J434" s="1" t="str">
        <f t="shared" si="27"/>
        <v>2023</v>
      </c>
      <c r="K434" t="s">
        <v>11</v>
      </c>
      <c r="L434" t="s">
        <v>81</v>
      </c>
    </row>
    <row r="435" spans="1:12" x14ac:dyDescent="0.25">
      <c r="A435" t="s">
        <v>385</v>
      </c>
      <c r="B435" t="str">
        <f t="shared" si="24"/>
        <v>Identified</v>
      </c>
      <c r="C435" t="s">
        <v>93</v>
      </c>
      <c r="D435" t="s">
        <v>59</v>
      </c>
      <c r="E435">
        <v>83</v>
      </c>
      <c r="F435">
        <v>58351.81</v>
      </c>
      <c r="G435">
        <f t="shared" si="25"/>
        <v>4843200.2299999995</v>
      </c>
      <c r="H435" s="1">
        <v>45905</v>
      </c>
      <c r="I435" s="1" t="str">
        <f t="shared" si="26"/>
        <v>Sep</v>
      </c>
      <c r="J435" s="1" t="str">
        <f t="shared" si="27"/>
        <v>2025</v>
      </c>
      <c r="K435" t="s">
        <v>11</v>
      </c>
      <c r="L435" t="s">
        <v>386</v>
      </c>
    </row>
    <row r="436" spans="1:12" x14ac:dyDescent="0.25">
      <c r="A436" t="s">
        <v>222</v>
      </c>
      <c r="B436" t="str">
        <f t="shared" si="24"/>
        <v>Identified</v>
      </c>
      <c r="C436" t="s">
        <v>57</v>
      </c>
      <c r="D436" t="s">
        <v>19</v>
      </c>
      <c r="E436">
        <v>47</v>
      </c>
      <c r="F436">
        <v>155709.06</v>
      </c>
      <c r="G436">
        <f t="shared" si="25"/>
        <v>7318325.8200000003</v>
      </c>
      <c r="H436" s="1">
        <v>45386</v>
      </c>
      <c r="I436" s="1" t="str">
        <f t="shared" si="26"/>
        <v>Apr</v>
      </c>
      <c r="J436" s="1" t="str">
        <f t="shared" si="27"/>
        <v>2024</v>
      </c>
      <c r="K436" t="s">
        <v>30</v>
      </c>
      <c r="L436" t="s">
        <v>223</v>
      </c>
    </row>
    <row r="437" spans="1:12" x14ac:dyDescent="0.25">
      <c r="A437" t="s">
        <v>819</v>
      </c>
      <c r="B437" t="str">
        <f t="shared" si="24"/>
        <v>Identified</v>
      </c>
      <c r="C437" t="s">
        <v>97</v>
      </c>
      <c r="D437" t="s">
        <v>59</v>
      </c>
      <c r="E437">
        <v>47</v>
      </c>
      <c r="F437">
        <v>264902.18</v>
      </c>
      <c r="G437">
        <f t="shared" si="25"/>
        <v>12450402.459999999</v>
      </c>
      <c r="H437" s="1">
        <v>45642</v>
      </c>
      <c r="I437" s="1" t="str">
        <f t="shared" si="26"/>
        <v>Dec</v>
      </c>
      <c r="J437" s="1" t="str">
        <f t="shared" si="27"/>
        <v>2024</v>
      </c>
      <c r="K437" t="s">
        <v>15</v>
      </c>
      <c r="L437" t="s">
        <v>820</v>
      </c>
    </row>
    <row r="438" spans="1:12" x14ac:dyDescent="0.25">
      <c r="A438" t="s">
        <v>831</v>
      </c>
      <c r="B438" t="str">
        <f t="shared" si="24"/>
        <v>Identified</v>
      </c>
      <c r="C438" t="s">
        <v>115</v>
      </c>
      <c r="D438" t="s">
        <v>29</v>
      </c>
      <c r="E438">
        <v>72</v>
      </c>
      <c r="F438">
        <v>96409.87</v>
      </c>
      <c r="G438">
        <f t="shared" si="25"/>
        <v>6941510.6399999997</v>
      </c>
      <c r="H438" s="1">
        <v>45742</v>
      </c>
      <c r="I438" s="1" t="str">
        <f t="shared" si="26"/>
        <v>Mar</v>
      </c>
      <c r="J438" s="1" t="str">
        <f t="shared" si="27"/>
        <v>2025</v>
      </c>
      <c r="K438" t="s">
        <v>11</v>
      </c>
      <c r="L438" t="s">
        <v>832</v>
      </c>
    </row>
    <row r="439" spans="1:12" x14ac:dyDescent="0.25">
      <c r="A439" t="s">
        <v>823</v>
      </c>
      <c r="B439" t="str">
        <f t="shared" si="24"/>
        <v>Identified</v>
      </c>
      <c r="C439" t="s">
        <v>22</v>
      </c>
      <c r="D439" t="s">
        <v>98</v>
      </c>
      <c r="E439">
        <v>32</v>
      </c>
      <c r="F439">
        <v>240943.58</v>
      </c>
      <c r="G439">
        <f t="shared" si="25"/>
        <v>7710194.5599999996</v>
      </c>
      <c r="H439" s="1">
        <v>45791</v>
      </c>
      <c r="I439" s="1" t="str">
        <f t="shared" si="26"/>
        <v>May</v>
      </c>
      <c r="J439" s="1" t="str">
        <f t="shared" si="27"/>
        <v>2025</v>
      </c>
      <c r="K439" t="s">
        <v>30</v>
      </c>
      <c r="L439" t="s">
        <v>824</v>
      </c>
    </row>
    <row r="440" spans="1:12" x14ac:dyDescent="0.25">
      <c r="A440" t="s">
        <v>128</v>
      </c>
      <c r="B440" t="str">
        <f t="shared" si="24"/>
        <v>Identified</v>
      </c>
      <c r="C440" t="s">
        <v>83</v>
      </c>
      <c r="D440" t="s">
        <v>29</v>
      </c>
      <c r="E440">
        <v>47</v>
      </c>
      <c r="F440">
        <v>125924.7</v>
      </c>
      <c r="G440">
        <f t="shared" si="25"/>
        <v>5918460.8999999994</v>
      </c>
      <c r="H440" s="1">
        <v>45427</v>
      </c>
      <c r="I440" s="1" t="str">
        <f t="shared" si="26"/>
        <v>May</v>
      </c>
      <c r="J440" s="1" t="str">
        <f t="shared" si="27"/>
        <v>2024</v>
      </c>
      <c r="K440" t="s">
        <v>30</v>
      </c>
      <c r="L440" t="s">
        <v>129</v>
      </c>
    </row>
    <row r="441" spans="1:12" x14ac:dyDescent="0.25">
      <c r="A441" t="s">
        <v>140</v>
      </c>
      <c r="B441" t="str">
        <f t="shared" si="24"/>
        <v>Identified</v>
      </c>
      <c r="C441" t="s">
        <v>36</v>
      </c>
      <c r="D441" t="s">
        <v>76</v>
      </c>
      <c r="E441">
        <v>19</v>
      </c>
      <c r="F441">
        <v>141745.84</v>
      </c>
      <c r="G441">
        <f t="shared" si="25"/>
        <v>2693170.96</v>
      </c>
      <c r="H441" s="1">
        <v>45437</v>
      </c>
      <c r="I441" s="1" t="str">
        <f t="shared" si="26"/>
        <v>May</v>
      </c>
      <c r="J441" s="1" t="str">
        <f t="shared" si="27"/>
        <v>2024</v>
      </c>
      <c r="K441" t="s">
        <v>11</v>
      </c>
      <c r="L441" t="s">
        <v>141</v>
      </c>
    </row>
    <row r="442" spans="1:12" x14ac:dyDescent="0.25">
      <c r="A442" t="s">
        <v>1069</v>
      </c>
      <c r="B442" t="str">
        <f t="shared" si="24"/>
        <v>Identified</v>
      </c>
      <c r="C442" t="s">
        <v>62</v>
      </c>
      <c r="D442" t="s">
        <v>14</v>
      </c>
      <c r="E442">
        <v>97</v>
      </c>
      <c r="F442">
        <v>115461.94</v>
      </c>
      <c r="G442">
        <f t="shared" si="25"/>
        <v>11199808.18</v>
      </c>
      <c r="H442" s="1">
        <v>45426</v>
      </c>
      <c r="I442" s="1" t="str">
        <f t="shared" si="26"/>
        <v>May</v>
      </c>
      <c r="J442" s="1" t="str">
        <f t="shared" si="27"/>
        <v>2024</v>
      </c>
      <c r="K442" t="s">
        <v>30</v>
      </c>
      <c r="L442" t="s">
        <v>1070</v>
      </c>
    </row>
    <row r="443" spans="1:12" x14ac:dyDescent="0.25">
      <c r="A443" t="s">
        <v>969</v>
      </c>
      <c r="B443" t="str">
        <f t="shared" si="24"/>
        <v>Identified</v>
      </c>
      <c r="C443" t="s">
        <v>143</v>
      </c>
      <c r="D443" t="s">
        <v>25</v>
      </c>
      <c r="E443">
        <v>47</v>
      </c>
      <c r="F443">
        <v>24166.26</v>
      </c>
      <c r="G443">
        <f t="shared" si="25"/>
        <v>1135814.22</v>
      </c>
      <c r="H443" s="1">
        <v>45613</v>
      </c>
      <c r="I443" s="1" t="str">
        <f t="shared" si="26"/>
        <v>Nov</v>
      </c>
      <c r="J443" s="1" t="str">
        <f t="shared" si="27"/>
        <v>2024</v>
      </c>
      <c r="K443" t="s">
        <v>15</v>
      </c>
      <c r="L443" t="s">
        <v>970</v>
      </c>
    </row>
    <row r="444" spans="1:12" x14ac:dyDescent="0.25">
      <c r="A444" t="s">
        <v>943</v>
      </c>
      <c r="B444" t="str">
        <f t="shared" si="24"/>
        <v>Identified</v>
      </c>
      <c r="C444" t="s">
        <v>115</v>
      </c>
      <c r="D444" t="s">
        <v>29</v>
      </c>
      <c r="E444">
        <v>47</v>
      </c>
      <c r="F444">
        <v>86363.22</v>
      </c>
      <c r="G444">
        <f t="shared" si="25"/>
        <v>4059071.34</v>
      </c>
      <c r="H444" s="1">
        <v>45658</v>
      </c>
      <c r="I444" s="1" t="str">
        <f t="shared" si="26"/>
        <v>Jan</v>
      </c>
      <c r="J444" s="1" t="str">
        <f t="shared" si="27"/>
        <v>2025</v>
      </c>
      <c r="K444" t="s">
        <v>11</v>
      </c>
      <c r="L444" t="s">
        <v>944</v>
      </c>
    </row>
    <row r="445" spans="1:12" x14ac:dyDescent="0.25">
      <c r="A445" t="s">
        <v>105</v>
      </c>
      <c r="B445" t="str">
        <f t="shared" si="24"/>
        <v>Identified</v>
      </c>
      <c r="C445" t="s">
        <v>57</v>
      </c>
      <c r="D445" t="s">
        <v>76</v>
      </c>
      <c r="E445">
        <v>47</v>
      </c>
      <c r="F445">
        <v>157507.57999999999</v>
      </c>
      <c r="G445">
        <f t="shared" si="25"/>
        <v>7402856.2599999998</v>
      </c>
      <c r="H445" s="1">
        <v>45562</v>
      </c>
      <c r="I445" s="1" t="str">
        <f t="shared" si="26"/>
        <v>Sep</v>
      </c>
      <c r="J445" s="1" t="str">
        <f t="shared" si="27"/>
        <v>2024</v>
      </c>
      <c r="K445" t="s">
        <v>11</v>
      </c>
      <c r="L445" t="s">
        <v>106</v>
      </c>
    </row>
    <row r="446" spans="1:12" x14ac:dyDescent="0.25">
      <c r="A446" t="s">
        <v>332</v>
      </c>
      <c r="B446" t="str">
        <f t="shared" si="24"/>
        <v>Identified</v>
      </c>
      <c r="C446" t="s">
        <v>66</v>
      </c>
      <c r="D446" t="s">
        <v>29</v>
      </c>
      <c r="E446">
        <v>47</v>
      </c>
      <c r="F446">
        <v>56300.33</v>
      </c>
      <c r="G446">
        <f t="shared" si="25"/>
        <v>2646115.5100000002</v>
      </c>
      <c r="H446" s="1">
        <v>45342</v>
      </c>
      <c r="I446" s="1" t="str">
        <f t="shared" si="26"/>
        <v>Feb</v>
      </c>
      <c r="J446" s="1" t="str">
        <f t="shared" si="27"/>
        <v>2024</v>
      </c>
      <c r="K446" t="s">
        <v>30</v>
      </c>
      <c r="L446" t="s">
        <v>333</v>
      </c>
    </row>
    <row r="447" spans="1:12" x14ac:dyDescent="0.25">
      <c r="A447" t="s">
        <v>265</v>
      </c>
      <c r="B447" t="str">
        <f t="shared" si="24"/>
        <v>Identified</v>
      </c>
      <c r="C447" t="s">
        <v>62</v>
      </c>
      <c r="D447" t="s">
        <v>98</v>
      </c>
      <c r="E447">
        <v>47</v>
      </c>
      <c r="F447">
        <v>271602.67</v>
      </c>
      <c r="G447">
        <f t="shared" si="25"/>
        <v>12765325.489999998</v>
      </c>
      <c r="H447" s="1">
        <v>45636</v>
      </c>
      <c r="I447" s="1" t="str">
        <f t="shared" si="26"/>
        <v>Dec</v>
      </c>
      <c r="J447" s="1" t="str">
        <f t="shared" si="27"/>
        <v>2024</v>
      </c>
      <c r="K447" t="s">
        <v>30</v>
      </c>
      <c r="L447" t="s">
        <v>266</v>
      </c>
    </row>
    <row r="448" spans="1:12" x14ac:dyDescent="0.25">
      <c r="A448" t="s">
        <v>805</v>
      </c>
      <c r="B448" t="str">
        <f t="shared" si="24"/>
        <v>Identified</v>
      </c>
      <c r="C448" t="s">
        <v>66</v>
      </c>
      <c r="D448" t="s">
        <v>50</v>
      </c>
      <c r="E448">
        <v>47</v>
      </c>
      <c r="F448">
        <v>72179.62</v>
      </c>
      <c r="G448">
        <f t="shared" si="25"/>
        <v>3392442.1399999997</v>
      </c>
      <c r="H448" s="1">
        <v>45568</v>
      </c>
      <c r="I448" s="1" t="str">
        <f t="shared" si="26"/>
        <v>Oct</v>
      </c>
      <c r="J448" s="1" t="str">
        <f t="shared" si="27"/>
        <v>2024</v>
      </c>
      <c r="K448" t="s">
        <v>15</v>
      </c>
      <c r="L448" t="s">
        <v>806</v>
      </c>
    </row>
    <row r="449" spans="1:12" x14ac:dyDescent="0.25">
      <c r="A449" t="s">
        <v>947</v>
      </c>
      <c r="B449" t="str">
        <f t="shared" si="24"/>
        <v>Identified</v>
      </c>
      <c r="C449" t="s">
        <v>36</v>
      </c>
      <c r="D449" t="s">
        <v>29</v>
      </c>
      <c r="E449">
        <v>11</v>
      </c>
      <c r="F449">
        <v>209508.79</v>
      </c>
      <c r="G449">
        <f t="shared" si="25"/>
        <v>2304596.69</v>
      </c>
      <c r="H449" s="1">
        <v>45224</v>
      </c>
      <c r="I449" s="1" t="str">
        <f t="shared" si="26"/>
        <v>Oct</v>
      </c>
      <c r="J449" s="1" t="str">
        <f t="shared" si="27"/>
        <v>2023</v>
      </c>
      <c r="K449" t="s">
        <v>11</v>
      </c>
      <c r="L449" t="s">
        <v>948</v>
      </c>
    </row>
    <row r="450" spans="1:12" x14ac:dyDescent="0.25">
      <c r="A450" t="s">
        <v>166</v>
      </c>
      <c r="B450" t="str">
        <f t="shared" ref="B450:B513" si="28">IF(A450="Unknown","Unidentified","Identified")</f>
        <v>Identified</v>
      </c>
      <c r="C450" t="s">
        <v>115</v>
      </c>
      <c r="D450" t="s">
        <v>14</v>
      </c>
      <c r="E450">
        <v>47</v>
      </c>
      <c r="F450">
        <v>160171.56</v>
      </c>
      <c r="G450">
        <f t="shared" ref="G450:G513" si="29">F450*E450</f>
        <v>7528063.3200000003</v>
      </c>
      <c r="H450" s="1">
        <v>45519</v>
      </c>
      <c r="I450" s="1" t="str">
        <f t="shared" ref="I450:I513" si="30">TEXT(H450,"MMM")</f>
        <v>Aug</v>
      </c>
      <c r="J450" s="1" t="str">
        <f t="shared" ref="J450:J513" si="31">TEXT(H450,"YYYY")</f>
        <v>2024</v>
      </c>
      <c r="K450" t="s">
        <v>30</v>
      </c>
      <c r="L450" t="s">
        <v>167</v>
      </c>
    </row>
    <row r="451" spans="1:12" x14ac:dyDescent="0.25">
      <c r="A451" t="s">
        <v>1013</v>
      </c>
      <c r="B451" t="str">
        <f t="shared" si="28"/>
        <v>Identified</v>
      </c>
      <c r="C451" t="s">
        <v>28</v>
      </c>
      <c r="D451" t="s">
        <v>50</v>
      </c>
      <c r="E451">
        <v>47</v>
      </c>
      <c r="F451">
        <v>292165</v>
      </c>
      <c r="G451">
        <f t="shared" si="29"/>
        <v>13731755</v>
      </c>
      <c r="H451" s="1">
        <v>45272</v>
      </c>
      <c r="I451" s="1" t="str">
        <f t="shared" si="30"/>
        <v>Dec</v>
      </c>
      <c r="J451" s="1" t="str">
        <f t="shared" si="31"/>
        <v>2023</v>
      </c>
      <c r="K451" t="s">
        <v>30</v>
      </c>
      <c r="L451" t="s">
        <v>1014</v>
      </c>
    </row>
    <row r="452" spans="1:12" x14ac:dyDescent="0.25">
      <c r="A452" t="s">
        <v>268</v>
      </c>
      <c r="B452" t="str">
        <f t="shared" si="28"/>
        <v>Identified</v>
      </c>
      <c r="C452" t="s">
        <v>39</v>
      </c>
      <c r="D452" t="s">
        <v>76</v>
      </c>
      <c r="E452">
        <v>44</v>
      </c>
      <c r="F452">
        <v>70234.55</v>
      </c>
      <c r="G452">
        <f t="shared" si="29"/>
        <v>3090320.2</v>
      </c>
      <c r="H452" s="1">
        <v>45118</v>
      </c>
      <c r="I452" s="1" t="str">
        <f t="shared" si="30"/>
        <v>Jul</v>
      </c>
      <c r="J452" s="1" t="str">
        <f t="shared" si="31"/>
        <v>2023</v>
      </c>
      <c r="K452" t="s">
        <v>51</v>
      </c>
      <c r="L452" t="s">
        <v>269</v>
      </c>
    </row>
    <row r="453" spans="1:12" x14ac:dyDescent="0.25">
      <c r="A453" t="s">
        <v>282</v>
      </c>
      <c r="B453" t="str">
        <f t="shared" si="28"/>
        <v>Identified</v>
      </c>
      <c r="C453" t="s">
        <v>39</v>
      </c>
      <c r="D453" t="s">
        <v>50</v>
      </c>
      <c r="E453">
        <v>47</v>
      </c>
      <c r="F453">
        <v>155709.06</v>
      </c>
      <c r="G453">
        <f t="shared" si="29"/>
        <v>7318325.8200000003</v>
      </c>
      <c r="H453" s="1">
        <v>45380</v>
      </c>
      <c r="I453" s="1" t="str">
        <f t="shared" si="30"/>
        <v>Mar</v>
      </c>
      <c r="J453" s="1" t="str">
        <f t="shared" si="31"/>
        <v>2024</v>
      </c>
      <c r="K453" t="s">
        <v>15</v>
      </c>
      <c r="L453" t="s">
        <v>283</v>
      </c>
    </row>
    <row r="454" spans="1:12" x14ac:dyDescent="0.25">
      <c r="A454" t="s">
        <v>697</v>
      </c>
      <c r="B454" t="str">
        <f t="shared" si="28"/>
        <v>Identified</v>
      </c>
      <c r="C454" t="s">
        <v>62</v>
      </c>
      <c r="D454" t="s">
        <v>50</v>
      </c>
      <c r="E454">
        <v>47</v>
      </c>
      <c r="F454">
        <v>220696.03</v>
      </c>
      <c r="G454">
        <f t="shared" si="29"/>
        <v>10372713.41</v>
      </c>
      <c r="H454" s="1">
        <v>45486</v>
      </c>
      <c r="I454" s="1" t="str">
        <f t="shared" si="30"/>
        <v>Jul</v>
      </c>
      <c r="J454" s="1" t="str">
        <f t="shared" si="31"/>
        <v>2024</v>
      </c>
      <c r="K454" t="s">
        <v>30</v>
      </c>
      <c r="L454" t="s">
        <v>698</v>
      </c>
    </row>
    <row r="455" spans="1:12" x14ac:dyDescent="0.25">
      <c r="A455" t="s">
        <v>1095</v>
      </c>
      <c r="B455" t="str">
        <f t="shared" si="28"/>
        <v>Identified</v>
      </c>
      <c r="C455" t="s">
        <v>230</v>
      </c>
      <c r="D455" t="s">
        <v>76</v>
      </c>
      <c r="E455">
        <v>79</v>
      </c>
      <c r="F455">
        <v>227326.48</v>
      </c>
      <c r="G455">
        <f t="shared" si="29"/>
        <v>17958791.920000002</v>
      </c>
      <c r="H455" s="1">
        <v>45136</v>
      </c>
      <c r="I455" s="1" t="str">
        <f t="shared" si="30"/>
        <v>Jul</v>
      </c>
      <c r="J455" s="1" t="str">
        <f t="shared" si="31"/>
        <v>2023</v>
      </c>
      <c r="K455" t="s">
        <v>11</v>
      </c>
      <c r="L455" t="s">
        <v>470</v>
      </c>
    </row>
    <row r="456" spans="1:12" x14ac:dyDescent="0.25">
      <c r="A456" t="s">
        <v>995</v>
      </c>
      <c r="B456" t="str">
        <f t="shared" si="28"/>
        <v>Identified</v>
      </c>
      <c r="C456" t="s">
        <v>39</v>
      </c>
      <c r="D456" t="s">
        <v>19</v>
      </c>
      <c r="E456">
        <v>58</v>
      </c>
      <c r="F456">
        <v>113462.29</v>
      </c>
      <c r="G456">
        <f t="shared" si="29"/>
        <v>6580812.8199999994</v>
      </c>
      <c r="H456" s="1">
        <v>45664</v>
      </c>
      <c r="I456" s="1" t="str">
        <f t="shared" si="30"/>
        <v>Jan</v>
      </c>
      <c r="J456" s="1" t="str">
        <f t="shared" si="31"/>
        <v>2025</v>
      </c>
      <c r="K456" t="s">
        <v>51</v>
      </c>
      <c r="L456" t="s">
        <v>996</v>
      </c>
    </row>
    <row r="457" spans="1:12" x14ac:dyDescent="0.25">
      <c r="A457" t="s">
        <v>954</v>
      </c>
      <c r="B457" t="str">
        <f t="shared" si="28"/>
        <v>Identified</v>
      </c>
      <c r="C457" t="s">
        <v>115</v>
      </c>
      <c r="D457" t="s">
        <v>50</v>
      </c>
      <c r="E457">
        <v>47</v>
      </c>
      <c r="F457">
        <v>275455.63</v>
      </c>
      <c r="G457">
        <f t="shared" si="29"/>
        <v>12946414.609999999</v>
      </c>
      <c r="H457" s="1">
        <v>45514</v>
      </c>
      <c r="I457" s="1" t="str">
        <f t="shared" si="30"/>
        <v>Aug</v>
      </c>
      <c r="J457" s="1" t="str">
        <f t="shared" si="31"/>
        <v>2024</v>
      </c>
      <c r="K457" t="s">
        <v>11</v>
      </c>
      <c r="L457" t="s">
        <v>955</v>
      </c>
    </row>
    <row r="458" spans="1:12" x14ac:dyDescent="0.25">
      <c r="A458" t="s">
        <v>855</v>
      </c>
      <c r="B458" t="str">
        <f t="shared" si="28"/>
        <v>Identified</v>
      </c>
      <c r="C458" t="s">
        <v>97</v>
      </c>
      <c r="D458" t="s">
        <v>59</v>
      </c>
      <c r="E458">
        <v>47</v>
      </c>
      <c r="F458">
        <v>69390.58</v>
      </c>
      <c r="G458">
        <f t="shared" si="29"/>
        <v>3261357.2600000002</v>
      </c>
      <c r="H458" s="1">
        <v>45342</v>
      </c>
      <c r="I458" s="1" t="str">
        <f t="shared" si="30"/>
        <v>Feb</v>
      </c>
      <c r="J458" s="1" t="str">
        <f t="shared" si="31"/>
        <v>2024</v>
      </c>
      <c r="K458" t="s">
        <v>15</v>
      </c>
      <c r="L458" t="s">
        <v>856</v>
      </c>
    </row>
    <row r="459" spans="1:12" x14ac:dyDescent="0.25">
      <c r="A459" t="s">
        <v>423</v>
      </c>
      <c r="B459" t="str">
        <f t="shared" si="28"/>
        <v>Identified</v>
      </c>
      <c r="C459" t="s">
        <v>87</v>
      </c>
      <c r="D459" t="s">
        <v>59</v>
      </c>
      <c r="E459">
        <v>47</v>
      </c>
      <c r="F459">
        <v>78835.17</v>
      </c>
      <c r="G459">
        <f t="shared" si="29"/>
        <v>3705252.9899999998</v>
      </c>
      <c r="H459" s="1">
        <v>45387</v>
      </c>
      <c r="I459" s="1" t="str">
        <f t="shared" si="30"/>
        <v>Apr</v>
      </c>
      <c r="J459" s="1" t="str">
        <f t="shared" si="31"/>
        <v>2024</v>
      </c>
      <c r="K459" t="s">
        <v>15</v>
      </c>
      <c r="L459" t="s">
        <v>424</v>
      </c>
    </row>
    <row r="460" spans="1:12" x14ac:dyDescent="0.25">
      <c r="A460" t="s">
        <v>336</v>
      </c>
      <c r="B460" t="str">
        <f t="shared" si="28"/>
        <v>Identified</v>
      </c>
      <c r="C460" t="s">
        <v>28</v>
      </c>
      <c r="D460" t="s">
        <v>25</v>
      </c>
      <c r="E460">
        <v>47</v>
      </c>
      <c r="F460">
        <v>261751.06</v>
      </c>
      <c r="G460">
        <f t="shared" si="29"/>
        <v>12302299.82</v>
      </c>
      <c r="H460" s="1">
        <v>45294</v>
      </c>
      <c r="I460" s="1" t="str">
        <f t="shared" si="30"/>
        <v>Jan</v>
      </c>
      <c r="J460" s="1" t="str">
        <f t="shared" si="31"/>
        <v>2024</v>
      </c>
      <c r="K460" t="s">
        <v>30</v>
      </c>
      <c r="L460" t="s">
        <v>337</v>
      </c>
    </row>
    <row r="461" spans="1:12" x14ac:dyDescent="0.25">
      <c r="A461" t="s">
        <v>1023</v>
      </c>
      <c r="B461" t="str">
        <f t="shared" si="28"/>
        <v>Identified</v>
      </c>
      <c r="C461" t="s">
        <v>66</v>
      </c>
      <c r="D461" t="s">
        <v>59</v>
      </c>
      <c r="E461">
        <v>47</v>
      </c>
      <c r="F461">
        <v>207840.17</v>
      </c>
      <c r="G461">
        <f t="shared" si="29"/>
        <v>9768487.9900000002</v>
      </c>
      <c r="H461" s="1">
        <v>45619</v>
      </c>
      <c r="I461" s="1" t="str">
        <f t="shared" si="30"/>
        <v>Nov</v>
      </c>
      <c r="J461" s="1" t="str">
        <f t="shared" si="31"/>
        <v>2024</v>
      </c>
      <c r="K461" t="s">
        <v>51</v>
      </c>
      <c r="L461" t="s">
        <v>1024</v>
      </c>
    </row>
    <row r="462" spans="1:12" x14ac:dyDescent="0.25">
      <c r="A462" t="s">
        <v>926</v>
      </c>
      <c r="B462" t="str">
        <f t="shared" si="28"/>
        <v>Identified</v>
      </c>
      <c r="C462" t="s">
        <v>97</v>
      </c>
      <c r="D462" t="s">
        <v>25</v>
      </c>
      <c r="E462">
        <v>36</v>
      </c>
      <c r="F462">
        <v>273869.06</v>
      </c>
      <c r="G462">
        <f t="shared" si="29"/>
        <v>9859286.1600000001</v>
      </c>
      <c r="H462" s="1">
        <v>45932</v>
      </c>
      <c r="I462" s="1" t="str">
        <f t="shared" si="30"/>
        <v>Oct</v>
      </c>
      <c r="J462" s="1" t="str">
        <f t="shared" si="31"/>
        <v>2025</v>
      </c>
      <c r="K462" t="s">
        <v>51</v>
      </c>
      <c r="L462" t="s">
        <v>927</v>
      </c>
    </row>
    <row r="463" spans="1:12" x14ac:dyDescent="0.25">
      <c r="A463" t="s">
        <v>1019</v>
      </c>
      <c r="B463" t="str">
        <f t="shared" si="28"/>
        <v>Identified</v>
      </c>
      <c r="C463" t="s">
        <v>22</v>
      </c>
      <c r="D463" t="s">
        <v>25</v>
      </c>
      <c r="E463">
        <v>47</v>
      </c>
      <c r="F463">
        <v>69315.070000000007</v>
      </c>
      <c r="G463">
        <f t="shared" si="29"/>
        <v>3257808.2900000005</v>
      </c>
      <c r="H463" s="1">
        <v>45367</v>
      </c>
      <c r="I463" s="1" t="str">
        <f t="shared" si="30"/>
        <v>Mar</v>
      </c>
      <c r="J463" s="1" t="str">
        <f t="shared" si="31"/>
        <v>2024</v>
      </c>
      <c r="K463" t="s">
        <v>15</v>
      </c>
      <c r="L463" t="s">
        <v>1020</v>
      </c>
    </row>
    <row r="464" spans="1:12" x14ac:dyDescent="0.25">
      <c r="A464" t="s">
        <v>871</v>
      </c>
      <c r="B464" t="str">
        <f t="shared" si="28"/>
        <v>Identified</v>
      </c>
      <c r="C464" t="s">
        <v>97</v>
      </c>
      <c r="D464" t="s">
        <v>14</v>
      </c>
      <c r="E464">
        <v>47</v>
      </c>
      <c r="F464">
        <v>146842.01999999999</v>
      </c>
      <c r="G464">
        <f t="shared" si="29"/>
        <v>6901574.9399999995</v>
      </c>
      <c r="H464" s="1">
        <v>45447</v>
      </c>
      <c r="I464" s="1" t="str">
        <f t="shared" si="30"/>
        <v>Jun</v>
      </c>
      <c r="J464" s="1" t="str">
        <f t="shared" si="31"/>
        <v>2024</v>
      </c>
      <c r="K464" t="s">
        <v>11</v>
      </c>
      <c r="L464" t="s">
        <v>1087</v>
      </c>
    </row>
    <row r="465" spans="1:12" x14ac:dyDescent="0.25">
      <c r="A465" t="s">
        <v>500</v>
      </c>
      <c r="B465" t="str">
        <f t="shared" si="28"/>
        <v>Identified</v>
      </c>
      <c r="C465" t="s">
        <v>57</v>
      </c>
      <c r="D465" t="s">
        <v>25</v>
      </c>
      <c r="E465">
        <v>47</v>
      </c>
      <c r="F465">
        <v>161229.72</v>
      </c>
      <c r="G465">
        <f t="shared" si="29"/>
        <v>7577796.8399999999</v>
      </c>
      <c r="H465" s="1">
        <v>45640</v>
      </c>
      <c r="I465" s="1" t="str">
        <f t="shared" si="30"/>
        <v>Dec</v>
      </c>
      <c r="J465" s="1" t="str">
        <f t="shared" si="31"/>
        <v>2024</v>
      </c>
      <c r="K465" t="s">
        <v>11</v>
      </c>
      <c r="L465" t="s">
        <v>501</v>
      </c>
    </row>
    <row r="466" spans="1:12" x14ac:dyDescent="0.25">
      <c r="A466" t="s">
        <v>787</v>
      </c>
      <c r="B466" t="str">
        <f t="shared" si="28"/>
        <v>Identified</v>
      </c>
      <c r="C466" t="s">
        <v>143</v>
      </c>
      <c r="D466" t="s">
        <v>14</v>
      </c>
      <c r="E466">
        <v>47</v>
      </c>
      <c r="F466">
        <v>63936.43</v>
      </c>
      <c r="G466">
        <f t="shared" si="29"/>
        <v>3005012.21</v>
      </c>
      <c r="H466" s="1">
        <v>45901</v>
      </c>
      <c r="I466" s="1" t="str">
        <f t="shared" si="30"/>
        <v>Sep</v>
      </c>
      <c r="J466" s="1" t="str">
        <f t="shared" si="31"/>
        <v>2025</v>
      </c>
      <c r="K466" t="s">
        <v>51</v>
      </c>
      <c r="L466" t="s">
        <v>788</v>
      </c>
    </row>
    <row r="467" spans="1:12" x14ac:dyDescent="0.25">
      <c r="A467" t="s">
        <v>989</v>
      </c>
      <c r="B467" t="str">
        <f t="shared" si="28"/>
        <v>Identified</v>
      </c>
      <c r="C467" t="s">
        <v>62</v>
      </c>
      <c r="D467" t="s">
        <v>25</v>
      </c>
      <c r="E467">
        <v>47</v>
      </c>
      <c r="F467">
        <v>9989.51</v>
      </c>
      <c r="G467">
        <f t="shared" si="29"/>
        <v>469506.97000000003</v>
      </c>
      <c r="H467" s="1">
        <v>45224</v>
      </c>
      <c r="I467" s="1" t="str">
        <f t="shared" si="30"/>
        <v>Oct</v>
      </c>
      <c r="J467" s="1" t="str">
        <f t="shared" si="31"/>
        <v>2023</v>
      </c>
      <c r="K467" t="s">
        <v>30</v>
      </c>
      <c r="L467" t="s">
        <v>990</v>
      </c>
    </row>
    <row r="468" spans="1:12" x14ac:dyDescent="0.25">
      <c r="A468" t="s">
        <v>657</v>
      </c>
      <c r="B468" t="str">
        <f t="shared" si="28"/>
        <v>Identified</v>
      </c>
      <c r="C468" t="s">
        <v>39</v>
      </c>
      <c r="D468" t="s">
        <v>98</v>
      </c>
      <c r="E468">
        <v>47</v>
      </c>
      <c r="F468">
        <v>162158.06</v>
      </c>
      <c r="G468">
        <f t="shared" si="29"/>
        <v>7621428.8200000003</v>
      </c>
      <c r="H468" s="1">
        <v>45498</v>
      </c>
      <c r="I468" s="1" t="str">
        <f t="shared" si="30"/>
        <v>Jul</v>
      </c>
      <c r="J468" s="1" t="str">
        <f t="shared" si="31"/>
        <v>2024</v>
      </c>
      <c r="K468" t="s">
        <v>30</v>
      </c>
      <c r="L468" t="s">
        <v>658</v>
      </c>
    </row>
    <row r="469" spans="1:12" x14ac:dyDescent="0.25">
      <c r="A469" t="s">
        <v>45</v>
      </c>
      <c r="B469" t="str">
        <f t="shared" si="28"/>
        <v>Identified</v>
      </c>
      <c r="C469" t="s">
        <v>46</v>
      </c>
      <c r="D469" t="s">
        <v>19</v>
      </c>
      <c r="E469">
        <v>47</v>
      </c>
      <c r="F469">
        <v>155709.06</v>
      </c>
      <c r="G469">
        <f t="shared" si="29"/>
        <v>7318325.8200000003</v>
      </c>
      <c r="H469" s="1">
        <v>45350</v>
      </c>
      <c r="I469" s="1" t="str">
        <f t="shared" si="30"/>
        <v>Feb</v>
      </c>
      <c r="J469" s="1" t="str">
        <f t="shared" si="31"/>
        <v>2024</v>
      </c>
      <c r="K469" t="s">
        <v>30</v>
      </c>
      <c r="L469" t="s">
        <v>47</v>
      </c>
    </row>
    <row r="470" spans="1:12" x14ac:dyDescent="0.25">
      <c r="A470" t="s">
        <v>967</v>
      </c>
      <c r="B470" t="str">
        <f t="shared" si="28"/>
        <v>Identified</v>
      </c>
      <c r="C470" t="s">
        <v>13</v>
      </c>
      <c r="D470" t="s">
        <v>50</v>
      </c>
      <c r="E470">
        <v>47</v>
      </c>
      <c r="F470">
        <v>238583.43</v>
      </c>
      <c r="G470">
        <f t="shared" si="29"/>
        <v>11213421.209999999</v>
      </c>
      <c r="H470" s="1">
        <v>45323</v>
      </c>
      <c r="I470" s="1" t="str">
        <f t="shared" si="30"/>
        <v>Feb</v>
      </c>
      <c r="J470" s="1" t="str">
        <f t="shared" si="31"/>
        <v>2024</v>
      </c>
      <c r="K470" t="s">
        <v>15</v>
      </c>
      <c r="L470" t="s">
        <v>968</v>
      </c>
    </row>
    <row r="471" spans="1:12" x14ac:dyDescent="0.25">
      <c r="A471" t="s">
        <v>807</v>
      </c>
      <c r="B471" t="str">
        <f t="shared" si="28"/>
        <v>Identified</v>
      </c>
      <c r="C471" t="s">
        <v>28</v>
      </c>
      <c r="D471" t="s">
        <v>19</v>
      </c>
      <c r="E471">
        <v>47</v>
      </c>
      <c r="F471">
        <v>155709.06</v>
      </c>
      <c r="G471">
        <f t="shared" si="29"/>
        <v>7318325.8200000003</v>
      </c>
      <c r="H471" s="1">
        <v>45252</v>
      </c>
      <c r="I471" s="1" t="str">
        <f t="shared" si="30"/>
        <v>Nov</v>
      </c>
      <c r="J471" s="1" t="str">
        <f t="shared" si="31"/>
        <v>2023</v>
      </c>
      <c r="K471" t="s">
        <v>30</v>
      </c>
      <c r="L471" t="s">
        <v>808</v>
      </c>
    </row>
    <row r="472" spans="1:12" x14ac:dyDescent="0.25">
      <c r="A472" t="s">
        <v>439</v>
      </c>
      <c r="B472" t="str">
        <f t="shared" si="28"/>
        <v>Identified</v>
      </c>
      <c r="C472" t="s">
        <v>39</v>
      </c>
      <c r="D472" t="s">
        <v>14</v>
      </c>
      <c r="E472">
        <v>47</v>
      </c>
      <c r="F472">
        <v>266396.52</v>
      </c>
      <c r="G472">
        <f t="shared" si="29"/>
        <v>12520636.440000001</v>
      </c>
      <c r="H472" s="1">
        <v>45372</v>
      </c>
      <c r="I472" s="1" t="str">
        <f t="shared" si="30"/>
        <v>Mar</v>
      </c>
      <c r="J472" s="1" t="str">
        <f t="shared" si="31"/>
        <v>2024</v>
      </c>
      <c r="K472" t="s">
        <v>51</v>
      </c>
      <c r="L472" t="s">
        <v>440</v>
      </c>
    </row>
    <row r="473" spans="1:12" x14ac:dyDescent="0.25">
      <c r="A473" t="s">
        <v>1045</v>
      </c>
      <c r="B473" t="str">
        <f t="shared" si="28"/>
        <v>Identified</v>
      </c>
      <c r="C473" t="s">
        <v>33</v>
      </c>
      <c r="D473" t="s">
        <v>14</v>
      </c>
      <c r="E473">
        <v>52</v>
      </c>
      <c r="F473">
        <v>62543.86</v>
      </c>
      <c r="G473">
        <f t="shared" si="29"/>
        <v>3252280.72</v>
      </c>
      <c r="H473" s="1">
        <v>45845</v>
      </c>
      <c r="I473" s="1" t="str">
        <f t="shared" si="30"/>
        <v>Jul</v>
      </c>
      <c r="J473" s="1" t="str">
        <f t="shared" si="31"/>
        <v>2025</v>
      </c>
      <c r="K473" t="s">
        <v>30</v>
      </c>
      <c r="L473" t="s">
        <v>1046</v>
      </c>
    </row>
    <row r="474" spans="1:12" x14ac:dyDescent="0.25">
      <c r="A474" t="s">
        <v>261</v>
      </c>
      <c r="B474" t="str">
        <f t="shared" si="28"/>
        <v>Identified</v>
      </c>
      <c r="C474" t="s">
        <v>22</v>
      </c>
      <c r="D474" t="s">
        <v>25</v>
      </c>
      <c r="E474">
        <v>4</v>
      </c>
      <c r="F474">
        <v>15704.25</v>
      </c>
      <c r="G474">
        <f t="shared" si="29"/>
        <v>62817</v>
      </c>
      <c r="H474" s="1">
        <v>45615</v>
      </c>
      <c r="I474" s="1" t="str">
        <f t="shared" si="30"/>
        <v>Nov</v>
      </c>
      <c r="J474" s="1" t="str">
        <f t="shared" si="31"/>
        <v>2024</v>
      </c>
      <c r="K474" t="s">
        <v>30</v>
      </c>
      <c r="L474" t="s">
        <v>262</v>
      </c>
    </row>
    <row r="475" spans="1:12" x14ac:dyDescent="0.25">
      <c r="A475" t="s">
        <v>845</v>
      </c>
      <c r="B475" t="str">
        <f t="shared" si="28"/>
        <v>Identified</v>
      </c>
      <c r="C475" t="s">
        <v>22</v>
      </c>
      <c r="D475" t="s">
        <v>98</v>
      </c>
      <c r="E475">
        <v>47</v>
      </c>
      <c r="F475">
        <v>166216.81</v>
      </c>
      <c r="G475">
        <f t="shared" si="29"/>
        <v>7812190.0700000003</v>
      </c>
      <c r="H475" s="1">
        <v>45551</v>
      </c>
      <c r="I475" s="1" t="str">
        <f t="shared" si="30"/>
        <v>Sep</v>
      </c>
      <c r="J475" s="1" t="str">
        <f t="shared" si="31"/>
        <v>2024</v>
      </c>
      <c r="K475" t="s">
        <v>30</v>
      </c>
      <c r="L475" t="s">
        <v>846</v>
      </c>
    </row>
    <row r="476" spans="1:12" x14ac:dyDescent="0.25">
      <c r="A476" t="s">
        <v>675</v>
      </c>
      <c r="B476" t="str">
        <f t="shared" si="28"/>
        <v>Identified</v>
      </c>
      <c r="C476" t="s">
        <v>18</v>
      </c>
      <c r="D476" t="s">
        <v>25</v>
      </c>
      <c r="E476">
        <v>47</v>
      </c>
      <c r="F476">
        <v>231875.19</v>
      </c>
      <c r="G476">
        <f t="shared" si="29"/>
        <v>10898133.93</v>
      </c>
      <c r="H476" s="1">
        <v>45026</v>
      </c>
      <c r="I476" s="1" t="str">
        <f t="shared" si="30"/>
        <v>Apr</v>
      </c>
      <c r="J476" s="1" t="str">
        <f t="shared" si="31"/>
        <v>2023</v>
      </c>
      <c r="K476" t="s">
        <v>30</v>
      </c>
      <c r="L476" t="s">
        <v>676</v>
      </c>
    </row>
    <row r="477" spans="1:12" x14ac:dyDescent="0.25">
      <c r="A477" t="s">
        <v>544</v>
      </c>
      <c r="B477" t="str">
        <f t="shared" si="28"/>
        <v>Identified</v>
      </c>
      <c r="C477" t="s">
        <v>57</v>
      </c>
      <c r="D477" t="s">
        <v>29</v>
      </c>
      <c r="E477">
        <v>47</v>
      </c>
      <c r="F477">
        <v>127397.37</v>
      </c>
      <c r="G477">
        <f t="shared" si="29"/>
        <v>5987676.3899999997</v>
      </c>
      <c r="H477" s="1">
        <v>45635</v>
      </c>
      <c r="I477" s="1" t="str">
        <f t="shared" si="30"/>
        <v>Dec</v>
      </c>
      <c r="J477" s="1" t="str">
        <f t="shared" si="31"/>
        <v>2024</v>
      </c>
      <c r="K477" t="s">
        <v>30</v>
      </c>
      <c r="L477" t="s">
        <v>545</v>
      </c>
    </row>
    <row r="478" spans="1:12" x14ac:dyDescent="0.25">
      <c r="A478" t="s">
        <v>207</v>
      </c>
      <c r="B478" t="str">
        <f t="shared" si="28"/>
        <v>Identified</v>
      </c>
      <c r="C478" t="s">
        <v>97</v>
      </c>
      <c r="D478" t="s">
        <v>98</v>
      </c>
      <c r="E478">
        <v>47</v>
      </c>
      <c r="F478">
        <v>168366.03</v>
      </c>
      <c r="G478">
        <f t="shared" si="29"/>
        <v>7913203.4100000001</v>
      </c>
      <c r="H478" s="1">
        <v>45088</v>
      </c>
      <c r="I478" s="1" t="str">
        <f t="shared" si="30"/>
        <v>Jun</v>
      </c>
      <c r="J478" s="1" t="str">
        <f t="shared" si="31"/>
        <v>2023</v>
      </c>
      <c r="K478" t="s">
        <v>15</v>
      </c>
      <c r="L478" t="s">
        <v>208</v>
      </c>
    </row>
    <row r="479" spans="1:12" x14ac:dyDescent="0.25">
      <c r="A479" t="s">
        <v>745</v>
      </c>
      <c r="B479" t="str">
        <f t="shared" si="28"/>
        <v>Identified</v>
      </c>
      <c r="C479" t="s">
        <v>13</v>
      </c>
      <c r="D479" t="s">
        <v>19</v>
      </c>
      <c r="E479">
        <v>47</v>
      </c>
      <c r="F479">
        <v>76871.199999999997</v>
      </c>
      <c r="G479">
        <f t="shared" si="29"/>
        <v>3612946.4</v>
      </c>
      <c r="H479" s="1">
        <v>45778</v>
      </c>
      <c r="I479" s="1" t="str">
        <f t="shared" si="30"/>
        <v>May</v>
      </c>
      <c r="J479" s="1" t="str">
        <f t="shared" si="31"/>
        <v>2025</v>
      </c>
      <c r="K479" t="s">
        <v>51</v>
      </c>
      <c r="L479" t="s">
        <v>746</v>
      </c>
    </row>
    <row r="480" spans="1:12" x14ac:dyDescent="0.25">
      <c r="A480" t="s">
        <v>847</v>
      </c>
      <c r="B480" t="str">
        <f t="shared" si="28"/>
        <v>Identified</v>
      </c>
      <c r="C480" t="s">
        <v>22</v>
      </c>
      <c r="D480" t="s">
        <v>98</v>
      </c>
      <c r="E480">
        <v>57</v>
      </c>
      <c r="F480">
        <v>175417.55</v>
      </c>
      <c r="G480">
        <f t="shared" si="29"/>
        <v>9998800.3499999996</v>
      </c>
      <c r="H480" s="1">
        <v>45349</v>
      </c>
      <c r="I480" s="1" t="str">
        <f t="shared" si="30"/>
        <v>Feb</v>
      </c>
      <c r="J480" s="1" t="str">
        <f t="shared" si="31"/>
        <v>2024</v>
      </c>
      <c r="K480" t="s">
        <v>51</v>
      </c>
      <c r="L480" t="s">
        <v>848</v>
      </c>
    </row>
    <row r="481" spans="1:12" x14ac:dyDescent="0.25">
      <c r="A481" t="s">
        <v>816</v>
      </c>
      <c r="B481" t="str">
        <f t="shared" si="28"/>
        <v>Identified</v>
      </c>
      <c r="C481" t="s">
        <v>13</v>
      </c>
      <c r="D481" t="s">
        <v>59</v>
      </c>
      <c r="E481">
        <v>74</v>
      </c>
      <c r="F481">
        <v>92872.47</v>
      </c>
      <c r="G481">
        <f t="shared" si="29"/>
        <v>6872562.7800000003</v>
      </c>
      <c r="H481" s="1">
        <v>45482</v>
      </c>
      <c r="I481" s="1" t="str">
        <f t="shared" si="30"/>
        <v>Jul</v>
      </c>
      <c r="J481" s="1" t="str">
        <f t="shared" si="31"/>
        <v>2024</v>
      </c>
      <c r="K481" t="s">
        <v>30</v>
      </c>
      <c r="L481" t="s">
        <v>817</v>
      </c>
    </row>
    <row r="482" spans="1:12" x14ac:dyDescent="0.25">
      <c r="A482" t="s">
        <v>145</v>
      </c>
      <c r="B482" t="str">
        <f t="shared" si="28"/>
        <v>Identified</v>
      </c>
      <c r="C482" t="s">
        <v>66</v>
      </c>
      <c r="D482" t="s">
        <v>76</v>
      </c>
      <c r="E482">
        <v>47</v>
      </c>
      <c r="F482">
        <v>254588.91</v>
      </c>
      <c r="G482">
        <f t="shared" si="29"/>
        <v>11965678.77</v>
      </c>
      <c r="H482" s="1">
        <v>45436</v>
      </c>
      <c r="I482" s="1" t="str">
        <f t="shared" si="30"/>
        <v>May</v>
      </c>
      <c r="J482" s="1" t="str">
        <f t="shared" si="31"/>
        <v>2024</v>
      </c>
      <c r="K482" t="s">
        <v>11</v>
      </c>
      <c r="L482" t="s">
        <v>146</v>
      </c>
    </row>
    <row r="483" spans="1:12" x14ac:dyDescent="0.25">
      <c r="A483" t="s">
        <v>625</v>
      </c>
      <c r="B483" t="str">
        <f t="shared" si="28"/>
        <v>Identified</v>
      </c>
      <c r="C483" t="s">
        <v>66</v>
      </c>
      <c r="D483" t="s">
        <v>59</v>
      </c>
      <c r="E483">
        <v>47</v>
      </c>
      <c r="F483">
        <v>262624.84999999998</v>
      </c>
      <c r="G483">
        <f t="shared" si="29"/>
        <v>12343367.949999999</v>
      </c>
      <c r="H483" s="1">
        <v>45226</v>
      </c>
      <c r="I483" s="1" t="str">
        <f t="shared" si="30"/>
        <v>Oct</v>
      </c>
      <c r="J483" s="1" t="str">
        <f t="shared" si="31"/>
        <v>2023</v>
      </c>
      <c r="K483" t="s">
        <v>15</v>
      </c>
      <c r="L483" t="s">
        <v>626</v>
      </c>
    </row>
    <row r="484" spans="1:12" x14ac:dyDescent="0.25">
      <c r="A484" t="s">
        <v>160</v>
      </c>
      <c r="B484" t="str">
        <f t="shared" si="28"/>
        <v>Identified</v>
      </c>
      <c r="C484" t="s">
        <v>39</v>
      </c>
      <c r="D484" t="s">
        <v>76</v>
      </c>
      <c r="E484">
        <v>47</v>
      </c>
      <c r="F484">
        <v>287027.3</v>
      </c>
      <c r="G484">
        <f t="shared" si="29"/>
        <v>13490283.1</v>
      </c>
      <c r="H484" s="1">
        <v>45467</v>
      </c>
      <c r="I484" s="1" t="str">
        <f t="shared" si="30"/>
        <v>Jun</v>
      </c>
      <c r="J484" s="1" t="str">
        <f t="shared" si="31"/>
        <v>2024</v>
      </c>
      <c r="K484" t="s">
        <v>11</v>
      </c>
      <c r="L484" t="s">
        <v>161</v>
      </c>
    </row>
    <row r="485" spans="1:12" x14ac:dyDescent="0.25">
      <c r="A485" t="s">
        <v>693</v>
      </c>
      <c r="B485" t="str">
        <f t="shared" si="28"/>
        <v>Identified</v>
      </c>
      <c r="C485" t="s">
        <v>143</v>
      </c>
      <c r="D485" t="s">
        <v>98</v>
      </c>
      <c r="E485">
        <v>47</v>
      </c>
      <c r="F485">
        <v>177704.3</v>
      </c>
      <c r="G485">
        <f t="shared" si="29"/>
        <v>8352102.0999999996</v>
      </c>
      <c r="H485" s="1">
        <v>45138</v>
      </c>
      <c r="I485" s="1" t="str">
        <f t="shared" si="30"/>
        <v>Jul</v>
      </c>
      <c r="J485" s="1" t="str">
        <f t="shared" si="31"/>
        <v>2023</v>
      </c>
      <c r="K485" t="s">
        <v>11</v>
      </c>
      <c r="L485" t="s">
        <v>694</v>
      </c>
    </row>
    <row r="486" spans="1:12" x14ac:dyDescent="0.25">
      <c r="A486" t="s">
        <v>557</v>
      </c>
      <c r="B486" t="str">
        <f t="shared" si="28"/>
        <v>Identified</v>
      </c>
      <c r="C486" t="s">
        <v>18</v>
      </c>
      <c r="D486" t="s">
        <v>25</v>
      </c>
      <c r="E486">
        <v>47</v>
      </c>
      <c r="F486">
        <v>141885.32</v>
      </c>
      <c r="G486">
        <f t="shared" si="29"/>
        <v>6668610.04</v>
      </c>
      <c r="H486" s="1">
        <v>45574</v>
      </c>
      <c r="I486" s="1" t="str">
        <f t="shared" si="30"/>
        <v>Oct</v>
      </c>
      <c r="J486" s="1" t="str">
        <f t="shared" si="31"/>
        <v>2024</v>
      </c>
      <c r="K486" t="s">
        <v>11</v>
      </c>
      <c r="L486" t="s">
        <v>558</v>
      </c>
    </row>
    <row r="487" spans="1:12" x14ac:dyDescent="0.25">
      <c r="A487" t="s">
        <v>284</v>
      </c>
      <c r="B487" t="str">
        <f t="shared" si="28"/>
        <v>Identified</v>
      </c>
      <c r="C487" t="s">
        <v>115</v>
      </c>
      <c r="D487" t="s">
        <v>76</v>
      </c>
      <c r="E487">
        <v>47</v>
      </c>
      <c r="F487">
        <v>293384.26</v>
      </c>
      <c r="G487">
        <f t="shared" si="29"/>
        <v>13789060.220000001</v>
      </c>
      <c r="H487" s="1">
        <v>45772</v>
      </c>
      <c r="I487" s="1" t="str">
        <f t="shared" si="30"/>
        <v>Apr</v>
      </c>
      <c r="J487" s="1" t="str">
        <f t="shared" si="31"/>
        <v>2025</v>
      </c>
      <c r="K487" t="s">
        <v>30</v>
      </c>
      <c r="L487" t="s">
        <v>285</v>
      </c>
    </row>
    <row r="488" spans="1:12" x14ac:dyDescent="0.25">
      <c r="A488" t="s">
        <v>761</v>
      </c>
      <c r="B488" t="str">
        <f t="shared" si="28"/>
        <v>Identified</v>
      </c>
      <c r="C488" t="s">
        <v>36</v>
      </c>
      <c r="D488" t="s">
        <v>59</v>
      </c>
      <c r="E488">
        <v>47</v>
      </c>
      <c r="F488">
        <v>15935.22</v>
      </c>
      <c r="G488">
        <f t="shared" si="29"/>
        <v>748955.34</v>
      </c>
      <c r="H488" s="1">
        <v>45438</v>
      </c>
      <c r="I488" s="1" t="str">
        <f t="shared" si="30"/>
        <v>May</v>
      </c>
      <c r="J488" s="1" t="str">
        <f t="shared" si="31"/>
        <v>2024</v>
      </c>
      <c r="K488" t="s">
        <v>30</v>
      </c>
      <c r="L488" t="s">
        <v>762</v>
      </c>
    </row>
    <row r="489" spans="1:12" x14ac:dyDescent="0.25">
      <c r="A489" t="s">
        <v>272</v>
      </c>
      <c r="B489" t="str">
        <f t="shared" si="28"/>
        <v>Identified</v>
      </c>
      <c r="C489" t="s">
        <v>33</v>
      </c>
      <c r="D489" t="s">
        <v>50</v>
      </c>
      <c r="E489">
        <v>47</v>
      </c>
      <c r="F489">
        <v>99422.94</v>
      </c>
      <c r="G489">
        <f t="shared" si="29"/>
        <v>4672878.18</v>
      </c>
      <c r="H489" s="1">
        <v>45363</v>
      </c>
      <c r="I489" s="1" t="str">
        <f t="shared" si="30"/>
        <v>Mar</v>
      </c>
      <c r="J489" s="1" t="str">
        <f t="shared" si="31"/>
        <v>2024</v>
      </c>
      <c r="K489" t="s">
        <v>15</v>
      </c>
      <c r="L489" t="s">
        <v>273</v>
      </c>
    </row>
    <row r="490" spans="1:12" x14ac:dyDescent="0.25">
      <c r="A490" t="s">
        <v>280</v>
      </c>
      <c r="B490" t="str">
        <f t="shared" si="28"/>
        <v>Identified</v>
      </c>
      <c r="C490" t="s">
        <v>66</v>
      </c>
      <c r="D490" t="s">
        <v>19</v>
      </c>
      <c r="E490">
        <v>47</v>
      </c>
      <c r="F490">
        <v>289373.37</v>
      </c>
      <c r="G490">
        <f t="shared" si="29"/>
        <v>13600548.390000001</v>
      </c>
      <c r="H490" s="1">
        <v>45588</v>
      </c>
      <c r="I490" s="1" t="str">
        <f t="shared" si="30"/>
        <v>Oct</v>
      </c>
      <c r="J490" s="1" t="str">
        <f t="shared" si="31"/>
        <v>2024</v>
      </c>
      <c r="K490" t="s">
        <v>51</v>
      </c>
      <c r="L490" t="s">
        <v>281</v>
      </c>
    </row>
    <row r="491" spans="1:12" x14ac:dyDescent="0.25">
      <c r="A491" t="s">
        <v>635</v>
      </c>
      <c r="B491" t="str">
        <f t="shared" si="28"/>
        <v>Identified</v>
      </c>
      <c r="C491" t="s">
        <v>62</v>
      </c>
      <c r="D491" t="s">
        <v>76</v>
      </c>
      <c r="E491">
        <v>11</v>
      </c>
      <c r="F491">
        <v>280903.26</v>
      </c>
      <c r="G491">
        <f t="shared" si="29"/>
        <v>3089935.8600000003</v>
      </c>
      <c r="H491" s="1">
        <v>45244</v>
      </c>
      <c r="I491" s="1" t="str">
        <f t="shared" si="30"/>
        <v>Nov</v>
      </c>
      <c r="J491" s="1" t="str">
        <f t="shared" si="31"/>
        <v>2023</v>
      </c>
      <c r="K491" t="s">
        <v>11</v>
      </c>
      <c r="L491" t="s">
        <v>636</v>
      </c>
    </row>
    <row r="492" spans="1:12" x14ac:dyDescent="0.25">
      <c r="A492" t="s">
        <v>615</v>
      </c>
      <c r="B492" t="str">
        <f t="shared" si="28"/>
        <v>Identified</v>
      </c>
      <c r="C492" t="s">
        <v>33</v>
      </c>
      <c r="D492" t="s">
        <v>76</v>
      </c>
      <c r="E492">
        <v>50</v>
      </c>
      <c r="F492">
        <v>114093.3</v>
      </c>
      <c r="G492">
        <f t="shared" si="29"/>
        <v>5704665</v>
      </c>
      <c r="H492" s="1">
        <v>45521</v>
      </c>
      <c r="I492" s="1" t="str">
        <f t="shared" si="30"/>
        <v>Aug</v>
      </c>
      <c r="J492" s="1" t="str">
        <f t="shared" si="31"/>
        <v>2024</v>
      </c>
      <c r="K492" t="s">
        <v>30</v>
      </c>
      <c r="L492" t="s">
        <v>616</v>
      </c>
    </row>
    <row r="493" spans="1:12" x14ac:dyDescent="0.25">
      <c r="A493" t="s">
        <v>965</v>
      </c>
      <c r="B493" t="str">
        <f t="shared" si="28"/>
        <v>Identified</v>
      </c>
      <c r="C493" t="s">
        <v>36</v>
      </c>
      <c r="D493" t="s">
        <v>14</v>
      </c>
      <c r="E493">
        <v>47</v>
      </c>
      <c r="F493">
        <v>106655.11</v>
      </c>
      <c r="G493">
        <f t="shared" si="29"/>
        <v>5012790.17</v>
      </c>
      <c r="H493" s="1">
        <v>45530</v>
      </c>
      <c r="I493" s="1" t="str">
        <f t="shared" si="30"/>
        <v>Aug</v>
      </c>
      <c r="J493" s="1" t="str">
        <f t="shared" si="31"/>
        <v>2024</v>
      </c>
      <c r="K493" t="s">
        <v>15</v>
      </c>
      <c r="L493" t="s">
        <v>966</v>
      </c>
    </row>
    <row r="494" spans="1:12" x14ac:dyDescent="0.25">
      <c r="A494" t="s">
        <v>121</v>
      </c>
      <c r="B494" t="str">
        <f t="shared" si="28"/>
        <v>Identified</v>
      </c>
      <c r="C494" t="s">
        <v>119</v>
      </c>
      <c r="D494" t="s">
        <v>76</v>
      </c>
      <c r="E494">
        <v>47</v>
      </c>
      <c r="F494">
        <v>155709.06</v>
      </c>
      <c r="G494">
        <f t="shared" si="29"/>
        <v>7318325.8200000003</v>
      </c>
      <c r="H494" s="1">
        <v>45804</v>
      </c>
      <c r="I494" s="1" t="str">
        <f t="shared" si="30"/>
        <v>May</v>
      </c>
      <c r="J494" s="1" t="str">
        <f t="shared" si="31"/>
        <v>2025</v>
      </c>
      <c r="K494" t="s">
        <v>51</v>
      </c>
      <c r="L494" t="s">
        <v>122</v>
      </c>
    </row>
    <row r="495" spans="1:12" x14ac:dyDescent="0.25">
      <c r="A495" t="s">
        <v>133</v>
      </c>
      <c r="B495" t="str">
        <f t="shared" si="28"/>
        <v>Identified</v>
      </c>
      <c r="C495" t="s">
        <v>33</v>
      </c>
      <c r="D495" t="s">
        <v>76</v>
      </c>
      <c r="E495">
        <v>47</v>
      </c>
      <c r="F495">
        <v>61565.56</v>
      </c>
      <c r="G495">
        <f t="shared" si="29"/>
        <v>2893581.32</v>
      </c>
      <c r="H495" s="1">
        <v>45676</v>
      </c>
      <c r="I495" s="1" t="str">
        <f t="shared" si="30"/>
        <v>Jan</v>
      </c>
      <c r="J495" s="1" t="str">
        <f t="shared" si="31"/>
        <v>2025</v>
      </c>
      <c r="K495" t="s">
        <v>30</v>
      </c>
      <c r="L495" t="s">
        <v>134</v>
      </c>
    </row>
    <row r="496" spans="1:12" x14ac:dyDescent="0.25">
      <c r="A496" t="s">
        <v>229</v>
      </c>
      <c r="B496" t="str">
        <f t="shared" si="28"/>
        <v>Identified</v>
      </c>
      <c r="C496" t="s">
        <v>230</v>
      </c>
      <c r="D496" t="s">
        <v>25</v>
      </c>
      <c r="E496">
        <v>47</v>
      </c>
      <c r="F496">
        <v>13098.91</v>
      </c>
      <c r="G496">
        <f t="shared" si="29"/>
        <v>615648.77</v>
      </c>
      <c r="H496" s="1">
        <v>45338</v>
      </c>
      <c r="I496" s="1" t="str">
        <f t="shared" si="30"/>
        <v>Feb</v>
      </c>
      <c r="J496" s="1" t="str">
        <f t="shared" si="31"/>
        <v>2024</v>
      </c>
      <c r="K496" t="s">
        <v>51</v>
      </c>
      <c r="L496" t="s">
        <v>231</v>
      </c>
    </row>
    <row r="497" spans="1:12" x14ac:dyDescent="0.25">
      <c r="A497" t="s">
        <v>274</v>
      </c>
      <c r="B497" t="str">
        <f t="shared" si="28"/>
        <v>Identified</v>
      </c>
      <c r="C497" t="s">
        <v>28</v>
      </c>
      <c r="D497" t="s">
        <v>59</v>
      </c>
      <c r="E497">
        <v>47</v>
      </c>
      <c r="F497">
        <v>141984.97</v>
      </c>
      <c r="G497">
        <f t="shared" si="29"/>
        <v>6673293.5899999999</v>
      </c>
      <c r="H497" s="1">
        <v>45484</v>
      </c>
      <c r="I497" s="1" t="str">
        <f t="shared" si="30"/>
        <v>Jul</v>
      </c>
      <c r="J497" s="1" t="str">
        <f t="shared" si="31"/>
        <v>2024</v>
      </c>
      <c r="K497" t="s">
        <v>15</v>
      </c>
      <c r="L497" t="s">
        <v>275</v>
      </c>
    </row>
    <row r="498" spans="1:12" x14ac:dyDescent="0.25">
      <c r="A498" t="s">
        <v>941</v>
      </c>
      <c r="B498" t="str">
        <f t="shared" si="28"/>
        <v>Identified</v>
      </c>
      <c r="C498" t="s">
        <v>97</v>
      </c>
      <c r="D498" t="s">
        <v>25</v>
      </c>
      <c r="E498">
        <v>47</v>
      </c>
      <c r="F498">
        <v>160953.56</v>
      </c>
      <c r="G498">
        <f t="shared" si="29"/>
        <v>7564817.3200000003</v>
      </c>
      <c r="H498" s="1">
        <v>45554</v>
      </c>
      <c r="I498" s="1" t="str">
        <f t="shared" si="30"/>
        <v>Sep</v>
      </c>
      <c r="J498" s="1" t="str">
        <f t="shared" si="31"/>
        <v>2024</v>
      </c>
      <c r="K498" t="s">
        <v>11</v>
      </c>
      <c r="L498" t="s">
        <v>942</v>
      </c>
    </row>
    <row r="499" spans="1:12" x14ac:dyDescent="0.25">
      <c r="A499" t="s">
        <v>460</v>
      </c>
      <c r="B499" t="str">
        <f t="shared" si="28"/>
        <v>Identified</v>
      </c>
      <c r="C499" t="s">
        <v>87</v>
      </c>
      <c r="D499" t="s">
        <v>25</v>
      </c>
      <c r="E499">
        <v>23</v>
      </c>
      <c r="F499">
        <v>296656.96999999997</v>
      </c>
      <c r="G499">
        <f t="shared" si="29"/>
        <v>6823110.3099999996</v>
      </c>
      <c r="H499" s="1">
        <v>45299</v>
      </c>
      <c r="I499" s="1" t="str">
        <f t="shared" si="30"/>
        <v>Jan</v>
      </c>
      <c r="J499" s="1" t="str">
        <f t="shared" si="31"/>
        <v>2024</v>
      </c>
      <c r="K499" t="s">
        <v>11</v>
      </c>
      <c r="L499" t="s">
        <v>461</v>
      </c>
    </row>
    <row r="500" spans="1:12" x14ac:dyDescent="0.25">
      <c r="A500" t="s">
        <v>651</v>
      </c>
      <c r="B500" t="str">
        <f t="shared" si="28"/>
        <v>Identified</v>
      </c>
      <c r="C500" t="s">
        <v>143</v>
      </c>
      <c r="D500" t="s">
        <v>59</v>
      </c>
      <c r="E500">
        <v>47</v>
      </c>
      <c r="F500">
        <v>73797.88</v>
      </c>
      <c r="G500">
        <f t="shared" si="29"/>
        <v>3468500.3600000003</v>
      </c>
      <c r="H500" s="1">
        <v>45761</v>
      </c>
      <c r="I500" s="1" t="str">
        <f t="shared" si="30"/>
        <v>Apr</v>
      </c>
      <c r="J500" s="1" t="str">
        <f t="shared" si="31"/>
        <v>2025</v>
      </c>
      <c r="K500" t="s">
        <v>30</v>
      </c>
      <c r="L500" t="s">
        <v>652</v>
      </c>
    </row>
    <row r="501" spans="1:12" x14ac:dyDescent="0.25">
      <c r="A501" t="s">
        <v>362</v>
      </c>
      <c r="B501" t="str">
        <f t="shared" si="28"/>
        <v>Identified</v>
      </c>
      <c r="C501" t="s">
        <v>49</v>
      </c>
      <c r="D501" t="s">
        <v>98</v>
      </c>
      <c r="E501">
        <v>47</v>
      </c>
      <c r="F501">
        <v>151511.70000000001</v>
      </c>
      <c r="G501">
        <f t="shared" si="29"/>
        <v>7121049.9000000004</v>
      </c>
      <c r="H501" s="1">
        <v>45440</v>
      </c>
      <c r="I501" s="1" t="str">
        <f t="shared" si="30"/>
        <v>May</v>
      </c>
      <c r="J501" s="1" t="str">
        <f t="shared" si="31"/>
        <v>2024</v>
      </c>
      <c r="K501" t="s">
        <v>11</v>
      </c>
      <c r="L501" t="s">
        <v>364</v>
      </c>
    </row>
    <row r="502" spans="1:12" x14ac:dyDescent="0.25">
      <c r="A502" t="s">
        <v>96</v>
      </c>
      <c r="B502" t="str">
        <f t="shared" si="28"/>
        <v>Identified</v>
      </c>
      <c r="C502" t="s">
        <v>97</v>
      </c>
      <c r="D502" t="s">
        <v>98</v>
      </c>
      <c r="E502">
        <v>47</v>
      </c>
      <c r="F502">
        <v>155709.06</v>
      </c>
      <c r="G502">
        <f t="shared" si="29"/>
        <v>7318325.8200000003</v>
      </c>
      <c r="H502" s="1">
        <v>45138</v>
      </c>
      <c r="I502" s="1" t="str">
        <f t="shared" si="30"/>
        <v>Jul</v>
      </c>
      <c r="J502" s="1" t="str">
        <f t="shared" si="31"/>
        <v>2023</v>
      </c>
      <c r="K502" t="s">
        <v>15</v>
      </c>
      <c r="L502" t="s">
        <v>99</v>
      </c>
    </row>
    <row r="503" spans="1:12" x14ac:dyDescent="0.25">
      <c r="A503" t="s">
        <v>358</v>
      </c>
      <c r="B503" t="str">
        <f t="shared" si="28"/>
        <v>Identified</v>
      </c>
      <c r="C503" t="s">
        <v>143</v>
      </c>
      <c r="D503" t="s">
        <v>19</v>
      </c>
      <c r="E503">
        <v>47</v>
      </c>
      <c r="F503">
        <v>155709.06</v>
      </c>
      <c r="G503">
        <f t="shared" si="29"/>
        <v>7318325.8200000003</v>
      </c>
      <c r="H503" s="1">
        <v>45210</v>
      </c>
      <c r="I503" s="1" t="str">
        <f t="shared" si="30"/>
        <v>Oct</v>
      </c>
      <c r="J503" s="1" t="str">
        <f t="shared" si="31"/>
        <v>2023</v>
      </c>
      <c r="K503" t="s">
        <v>30</v>
      </c>
      <c r="L503" t="s">
        <v>359</v>
      </c>
    </row>
    <row r="504" spans="1:12" x14ac:dyDescent="0.25">
      <c r="A504" t="s">
        <v>637</v>
      </c>
      <c r="B504" t="str">
        <f t="shared" si="28"/>
        <v>Identified</v>
      </c>
      <c r="C504" t="s">
        <v>97</v>
      </c>
      <c r="D504" t="s">
        <v>19</v>
      </c>
      <c r="E504">
        <v>33</v>
      </c>
      <c r="F504">
        <v>266767.88</v>
      </c>
      <c r="G504">
        <f t="shared" si="29"/>
        <v>8803340.040000001</v>
      </c>
      <c r="H504" s="1">
        <v>45601</v>
      </c>
      <c r="I504" s="1" t="str">
        <f t="shared" si="30"/>
        <v>Nov</v>
      </c>
      <c r="J504" s="1" t="str">
        <f t="shared" si="31"/>
        <v>2024</v>
      </c>
      <c r="K504" t="s">
        <v>30</v>
      </c>
      <c r="L504" t="s">
        <v>1087</v>
      </c>
    </row>
    <row r="505" spans="1:12" x14ac:dyDescent="0.25">
      <c r="A505" t="s">
        <v>705</v>
      </c>
      <c r="B505" t="str">
        <f t="shared" si="28"/>
        <v>Identified</v>
      </c>
      <c r="C505" t="s">
        <v>33</v>
      </c>
      <c r="D505" t="s">
        <v>50</v>
      </c>
      <c r="E505">
        <v>47</v>
      </c>
      <c r="F505">
        <v>14541.79</v>
      </c>
      <c r="G505">
        <f t="shared" si="29"/>
        <v>683464.13</v>
      </c>
      <c r="H505" s="1">
        <v>45750</v>
      </c>
      <c r="I505" s="1" t="str">
        <f t="shared" si="30"/>
        <v>Apr</v>
      </c>
      <c r="J505" s="1" t="str">
        <f t="shared" si="31"/>
        <v>2025</v>
      </c>
      <c r="K505" t="s">
        <v>30</v>
      </c>
      <c r="L505" t="s">
        <v>706</v>
      </c>
    </row>
    <row r="506" spans="1:12" x14ac:dyDescent="0.25">
      <c r="A506" t="s">
        <v>258</v>
      </c>
      <c r="B506" t="str">
        <f t="shared" si="28"/>
        <v>Identified</v>
      </c>
      <c r="C506" t="s">
        <v>119</v>
      </c>
      <c r="D506" t="s">
        <v>50</v>
      </c>
      <c r="E506">
        <v>47</v>
      </c>
      <c r="F506">
        <v>72164.98</v>
      </c>
      <c r="G506">
        <f t="shared" si="29"/>
        <v>3391754.0599999996</v>
      </c>
      <c r="H506" s="1">
        <v>45390</v>
      </c>
      <c r="I506" s="1" t="str">
        <f t="shared" si="30"/>
        <v>Apr</v>
      </c>
      <c r="J506" s="1" t="str">
        <f t="shared" si="31"/>
        <v>2024</v>
      </c>
      <c r="K506" t="s">
        <v>15</v>
      </c>
      <c r="L506" t="s">
        <v>260</v>
      </c>
    </row>
    <row r="507" spans="1:12" x14ac:dyDescent="0.25">
      <c r="A507" t="s">
        <v>1037</v>
      </c>
      <c r="B507" t="str">
        <f t="shared" si="28"/>
        <v>Identified</v>
      </c>
      <c r="C507" t="s">
        <v>115</v>
      </c>
      <c r="D507" t="s">
        <v>19</v>
      </c>
      <c r="E507">
        <v>47</v>
      </c>
      <c r="F507">
        <v>197603.72</v>
      </c>
      <c r="G507">
        <f t="shared" si="29"/>
        <v>9287374.8399999999</v>
      </c>
      <c r="H507" s="1">
        <v>45533</v>
      </c>
      <c r="I507" s="1" t="str">
        <f t="shared" si="30"/>
        <v>Aug</v>
      </c>
      <c r="J507" s="1" t="str">
        <f t="shared" si="31"/>
        <v>2024</v>
      </c>
      <c r="K507" t="s">
        <v>15</v>
      </c>
      <c r="L507" t="s">
        <v>1038</v>
      </c>
    </row>
    <row r="508" spans="1:12" x14ac:dyDescent="0.25">
      <c r="A508" t="s">
        <v>212</v>
      </c>
      <c r="B508" t="str">
        <f t="shared" si="28"/>
        <v>Identified</v>
      </c>
      <c r="C508" t="s">
        <v>49</v>
      </c>
      <c r="D508" t="s">
        <v>29</v>
      </c>
      <c r="E508">
        <v>47</v>
      </c>
      <c r="F508">
        <v>86692.92</v>
      </c>
      <c r="G508">
        <f t="shared" si="29"/>
        <v>4074567.2399999998</v>
      </c>
      <c r="H508" s="1">
        <v>45243</v>
      </c>
      <c r="I508" s="1" t="str">
        <f t="shared" si="30"/>
        <v>Nov</v>
      </c>
      <c r="J508" s="1" t="str">
        <f t="shared" si="31"/>
        <v>2023</v>
      </c>
      <c r="K508" t="s">
        <v>15</v>
      </c>
      <c r="L508" t="s">
        <v>213</v>
      </c>
    </row>
    <row r="509" spans="1:12" x14ac:dyDescent="0.25">
      <c r="A509" t="s">
        <v>1096</v>
      </c>
      <c r="B509" t="str">
        <f t="shared" si="28"/>
        <v>Identified</v>
      </c>
      <c r="C509" t="s">
        <v>49</v>
      </c>
      <c r="D509" t="s">
        <v>19</v>
      </c>
      <c r="E509">
        <v>47</v>
      </c>
      <c r="F509">
        <v>24534.87</v>
      </c>
      <c r="G509">
        <f t="shared" si="29"/>
        <v>1153138.8899999999</v>
      </c>
      <c r="H509" s="1">
        <v>45551</v>
      </c>
      <c r="I509" s="1" t="str">
        <f t="shared" si="30"/>
        <v>Sep</v>
      </c>
      <c r="J509" s="1" t="str">
        <f t="shared" si="31"/>
        <v>2024</v>
      </c>
      <c r="K509" t="s">
        <v>51</v>
      </c>
      <c r="L509" t="s">
        <v>582</v>
      </c>
    </row>
    <row r="510" spans="1:12" x14ac:dyDescent="0.25">
      <c r="A510" t="s">
        <v>531</v>
      </c>
      <c r="B510" t="str">
        <f t="shared" si="28"/>
        <v>Identified</v>
      </c>
      <c r="C510" t="s">
        <v>13</v>
      </c>
      <c r="D510" t="s">
        <v>25</v>
      </c>
      <c r="E510">
        <v>25</v>
      </c>
      <c r="F510">
        <v>201993.93</v>
      </c>
      <c r="G510">
        <f t="shared" si="29"/>
        <v>5049848.25</v>
      </c>
      <c r="H510" s="1">
        <v>45153</v>
      </c>
      <c r="I510" s="1" t="str">
        <f t="shared" si="30"/>
        <v>Aug</v>
      </c>
      <c r="J510" s="1" t="str">
        <f t="shared" si="31"/>
        <v>2023</v>
      </c>
      <c r="K510" t="s">
        <v>15</v>
      </c>
      <c r="L510" t="s">
        <v>532</v>
      </c>
    </row>
    <row r="511" spans="1:12" x14ac:dyDescent="0.25">
      <c r="A511" t="s">
        <v>709</v>
      </c>
      <c r="B511" t="str">
        <f t="shared" si="28"/>
        <v>Identified</v>
      </c>
      <c r="C511" t="s">
        <v>18</v>
      </c>
      <c r="D511" t="s">
        <v>19</v>
      </c>
      <c r="E511">
        <v>47</v>
      </c>
      <c r="F511">
        <v>193173.16</v>
      </c>
      <c r="G511">
        <f t="shared" si="29"/>
        <v>9079138.5199999996</v>
      </c>
      <c r="H511" s="1">
        <v>45301</v>
      </c>
      <c r="I511" s="1" t="str">
        <f t="shared" si="30"/>
        <v>Jan</v>
      </c>
      <c r="J511" s="1" t="str">
        <f t="shared" si="31"/>
        <v>2024</v>
      </c>
      <c r="K511" t="s">
        <v>51</v>
      </c>
      <c r="L511" t="s">
        <v>710</v>
      </c>
    </row>
    <row r="512" spans="1:12" x14ac:dyDescent="0.25">
      <c r="A512" t="s">
        <v>857</v>
      </c>
      <c r="B512" t="str">
        <f t="shared" si="28"/>
        <v>Identified</v>
      </c>
      <c r="C512" t="s">
        <v>18</v>
      </c>
      <c r="D512" t="s">
        <v>59</v>
      </c>
      <c r="E512">
        <v>47</v>
      </c>
      <c r="F512">
        <v>171151.96</v>
      </c>
      <c r="G512">
        <f t="shared" si="29"/>
        <v>8044142.1199999992</v>
      </c>
      <c r="H512" s="1">
        <v>45870</v>
      </c>
      <c r="I512" s="1" t="str">
        <f t="shared" si="30"/>
        <v>Aug</v>
      </c>
      <c r="J512" s="1" t="str">
        <f t="shared" si="31"/>
        <v>2025</v>
      </c>
      <c r="K512" t="s">
        <v>15</v>
      </c>
      <c r="L512" t="s">
        <v>858</v>
      </c>
    </row>
    <row r="513" spans="1:12" x14ac:dyDescent="0.25">
      <c r="A513" t="s">
        <v>631</v>
      </c>
      <c r="B513" t="str">
        <f t="shared" si="28"/>
        <v>Identified</v>
      </c>
      <c r="C513" t="s">
        <v>87</v>
      </c>
      <c r="D513" t="s">
        <v>14</v>
      </c>
      <c r="E513">
        <v>47</v>
      </c>
      <c r="F513">
        <v>198229.21</v>
      </c>
      <c r="G513">
        <f t="shared" si="29"/>
        <v>9316772.8699999992</v>
      </c>
      <c r="H513" s="1">
        <v>45594</v>
      </c>
      <c r="I513" s="1" t="str">
        <f t="shared" si="30"/>
        <v>Oct</v>
      </c>
      <c r="J513" s="1" t="str">
        <f t="shared" si="31"/>
        <v>2024</v>
      </c>
      <c r="K513" t="s">
        <v>11</v>
      </c>
      <c r="L513" t="s">
        <v>632</v>
      </c>
    </row>
    <row r="514" spans="1:12" x14ac:dyDescent="0.25">
      <c r="A514" t="s">
        <v>1097</v>
      </c>
      <c r="B514" t="str">
        <f t="shared" ref="B514:B577" si="32">IF(A514="Unknown","Unidentified","Identified")</f>
        <v>Identified</v>
      </c>
      <c r="C514" t="s">
        <v>36</v>
      </c>
      <c r="D514" t="s">
        <v>19</v>
      </c>
      <c r="E514">
        <v>47</v>
      </c>
      <c r="F514">
        <v>274960.90999999997</v>
      </c>
      <c r="G514">
        <f t="shared" ref="G514:G551" si="33">F514*E514</f>
        <v>12923162.77</v>
      </c>
      <c r="H514" s="1">
        <v>45404</v>
      </c>
      <c r="I514" s="1" t="str">
        <f t="shared" ref="I514:I551" si="34">TEXT(H514,"MMM")</f>
        <v>Apr</v>
      </c>
      <c r="J514" s="1" t="str">
        <f t="shared" ref="J514:J551" si="35">TEXT(H514,"YYYY")</f>
        <v>2024</v>
      </c>
      <c r="K514" t="s">
        <v>11</v>
      </c>
      <c r="L514" t="s">
        <v>670</v>
      </c>
    </row>
    <row r="515" spans="1:12" x14ac:dyDescent="0.25">
      <c r="A515" t="s">
        <v>573</v>
      </c>
      <c r="B515" t="str">
        <f t="shared" si="32"/>
        <v>Identified</v>
      </c>
      <c r="C515" t="s">
        <v>57</v>
      </c>
      <c r="D515" t="s">
        <v>19</v>
      </c>
      <c r="E515">
        <v>47</v>
      </c>
      <c r="F515">
        <v>267454.40999999997</v>
      </c>
      <c r="G515">
        <f t="shared" si="33"/>
        <v>12570357.27</v>
      </c>
      <c r="H515" s="1">
        <v>45601</v>
      </c>
      <c r="I515" s="1" t="str">
        <f t="shared" si="34"/>
        <v>Nov</v>
      </c>
      <c r="J515" s="1" t="str">
        <f t="shared" si="35"/>
        <v>2024</v>
      </c>
      <c r="K515" t="s">
        <v>11</v>
      </c>
      <c r="L515" t="s">
        <v>574</v>
      </c>
    </row>
    <row r="516" spans="1:12" x14ac:dyDescent="0.25">
      <c r="A516" t="s">
        <v>997</v>
      </c>
      <c r="B516" t="str">
        <f t="shared" si="32"/>
        <v>Identified</v>
      </c>
      <c r="C516" t="s">
        <v>143</v>
      </c>
      <c r="D516" t="s">
        <v>50</v>
      </c>
      <c r="E516">
        <v>19</v>
      </c>
      <c r="F516">
        <v>143063.53</v>
      </c>
      <c r="G516">
        <f t="shared" si="33"/>
        <v>2718207.07</v>
      </c>
      <c r="H516" s="1">
        <v>45210</v>
      </c>
      <c r="I516" s="1" t="str">
        <f t="shared" si="34"/>
        <v>Oct</v>
      </c>
      <c r="J516" s="1" t="str">
        <f t="shared" si="35"/>
        <v>2023</v>
      </c>
      <c r="K516" t="s">
        <v>30</v>
      </c>
      <c r="L516" t="s">
        <v>998</v>
      </c>
    </row>
    <row r="517" spans="1:12" x14ac:dyDescent="0.25">
      <c r="A517" t="s">
        <v>767</v>
      </c>
      <c r="B517" t="str">
        <f t="shared" si="32"/>
        <v>Identified</v>
      </c>
      <c r="C517" t="s">
        <v>28</v>
      </c>
      <c r="D517" t="s">
        <v>29</v>
      </c>
      <c r="E517">
        <v>47</v>
      </c>
      <c r="F517">
        <v>22298.91</v>
      </c>
      <c r="G517">
        <f t="shared" si="33"/>
        <v>1048048.77</v>
      </c>
      <c r="H517" s="1">
        <v>45359</v>
      </c>
      <c r="I517" s="1" t="str">
        <f t="shared" si="34"/>
        <v>Mar</v>
      </c>
      <c r="J517" s="1" t="str">
        <f t="shared" si="35"/>
        <v>2024</v>
      </c>
      <c r="K517" t="s">
        <v>15</v>
      </c>
      <c r="L517" t="s">
        <v>768</v>
      </c>
    </row>
    <row r="518" spans="1:12" x14ac:dyDescent="0.25">
      <c r="A518" t="s">
        <v>513</v>
      </c>
      <c r="B518" t="str">
        <f t="shared" si="32"/>
        <v>Identified</v>
      </c>
      <c r="C518" t="s">
        <v>18</v>
      </c>
      <c r="D518" t="s">
        <v>14</v>
      </c>
      <c r="E518">
        <v>47</v>
      </c>
      <c r="F518">
        <v>146903.98000000001</v>
      </c>
      <c r="G518">
        <f t="shared" si="33"/>
        <v>6904487.0600000005</v>
      </c>
      <c r="H518" s="1">
        <v>45541</v>
      </c>
      <c r="I518" s="1" t="str">
        <f t="shared" si="34"/>
        <v>Sep</v>
      </c>
      <c r="J518" s="1" t="str">
        <f t="shared" si="35"/>
        <v>2024</v>
      </c>
      <c r="K518" t="s">
        <v>11</v>
      </c>
      <c r="L518" t="s">
        <v>514</v>
      </c>
    </row>
    <row r="519" spans="1:12" x14ac:dyDescent="0.25">
      <c r="A519" t="s">
        <v>759</v>
      </c>
      <c r="B519" t="str">
        <f t="shared" si="32"/>
        <v>Identified</v>
      </c>
      <c r="C519" t="s">
        <v>46</v>
      </c>
      <c r="D519" t="s">
        <v>19</v>
      </c>
      <c r="E519">
        <v>47</v>
      </c>
      <c r="F519">
        <v>248907.18</v>
      </c>
      <c r="G519">
        <f t="shared" si="33"/>
        <v>11698637.459999999</v>
      </c>
      <c r="H519" s="1">
        <v>45057</v>
      </c>
      <c r="I519" s="1" t="str">
        <f t="shared" si="34"/>
        <v>May</v>
      </c>
      <c r="J519" s="1" t="str">
        <f t="shared" si="35"/>
        <v>2023</v>
      </c>
      <c r="K519" t="s">
        <v>15</v>
      </c>
      <c r="L519" t="s">
        <v>760</v>
      </c>
    </row>
    <row r="520" spans="1:12" x14ac:dyDescent="0.25">
      <c r="A520" t="s">
        <v>849</v>
      </c>
      <c r="B520" t="str">
        <f t="shared" si="32"/>
        <v>Identified</v>
      </c>
      <c r="C520" t="s">
        <v>13</v>
      </c>
      <c r="D520" t="s">
        <v>59</v>
      </c>
      <c r="E520">
        <v>47</v>
      </c>
      <c r="F520">
        <v>216143.58</v>
      </c>
      <c r="G520">
        <f t="shared" si="33"/>
        <v>10158748.26</v>
      </c>
      <c r="H520" s="1">
        <v>45292</v>
      </c>
      <c r="I520" s="1" t="str">
        <f t="shared" si="34"/>
        <v>Jan</v>
      </c>
      <c r="J520" s="1" t="str">
        <f t="shared" si="35"/>
        <v>2024</v>
      </c>
      <c r="K520" t="s">
        <v>30</v>
      </c>
      <c r="L520" t="s">
        <v>850</v>
      </c>
    </row>
    <row r="521" spans="1:12" x14ac:dyDescent="0.25">
      <c r="A521" t="s">
        <v>164</v>
      </c>
      <c r="B521" t="str">
        <f t="shared" si="32"/>
        <v>Identified</v>
      </c>
      <c r="C521" t="s">
        <v>33</v>
      </c>
      <c r="D521" t="s">
        <v>19</v>
      </c>
      <c r="E521">
        <v>93</v>
      </c>
      <c r="F521">
        <v>138169.23000000001</v>
      </c>
      <c r="G521">
        <f t="shared" si="33"/>
        <v>12849738.390000001</v>
      </c>
      <c r="H521" s="1">
        <v>45646</v>
      </c>
      <c r="I521" s="1" t="str">
        <f t="shared" si="34"/>
        <v>Dec</v>
      </c>
      <c r="J521" s="1" t="str">
        <f t="shared" si="35"/>
        <v>2024</v>
      </c>
      <c r="K521" t="s">
        <v>30</v>
      </c>
      <c r="L521" t="s">
        <v>165</v>
      </c>
    </row>
    <row r="522" spans="1:12" x14ac:dyDescent="0.25">
      <c r="A522" t="s">
        <v>593</v>
      </c>
      <c r="B522" t="str">
        <f t="shared" si="32"/>
        <v>Identified</v>
      </c>
      <c r="C522" t="s">
        <v>62</v>
      </c>
      <c r="D522" t="s">
        <v>25</v>
      </c>
      <c r="E522">
        <v>71</v>
      </c>
      <c r="F522">
        <v>36030.629999999997</v>
      </c>
      <c r="G522">
        <f t="shared" si="33"/>
        <v>2558174.73</v>
      </c>
      <c r="H522" s="1">
        <v>45585</v>
      </c>
      <c r="I522" s="1" t="str">
        <f t="shared" si="34"/>
        <v>Oct</v>
      </c>
      <c r="J522" s="1" t="str">
        <f t="shared" si="35"/>
        <v>2024</v>
      </c>
      <c r="K522" t="s">
        <v>30</v>
      </c>
      <c r="L522" t="s">
        <v>594</v>
      </c>
    </row>
    <row r="523" spans="1:12" x14ac:dyDescent="0.25">
      <c r="A523" t="s">
        <v>427</v>
      </c>
      <c r="B523" t="str">
        <f t="shared" si="32"/>
        <v>Identified</v>
      </c>
      <c r="C523" t="s">
        <v>87</v>
      </c>
      <c r="D523" t="s">
        <v>98</v>
      </c>
      <c r="E523">
        <v>58</v>
      </c>
      <c r="F523">
        <v>200501.94</v>
      </c>
      <c r="G523">
        <f t="shared" si="33"/>
        <v>11629112.52</v>
      </c>
      <c r="H523" s="1">
        <v>45442</v>
      </c>
      <c r="I523" s="1" t="str">
        <f t="shared" si="34"/>
        <v>May</v>
      </c>
      <c r="J523" s="1" t="str">
        <f t="shared" si="35"/>
        <v>2024</v>
      </c>
      <c r="K523" t="s">
        <v>11</v>
      </c>
      <c r="L523" t="s">
        <v>428</v>
      </c>
    </row>
    <row r="524" spans="1:12" x14ac:dyDescent="0.25">
      <c r="A524" t="s">
        <v>86</v>
      </c>
      <c r="B524" t="str">
        <f t="shared" si="32"/>
        <v>Identified</v>
      </c>
      <c r="C524" t="s">
        <v>87</v>
      </c>
      <c r="D524" t="s">
        <v>76</v>
      </c>
      <c r="E524">
        <v>47</v>
      </c>
      <c r="F524">
        <v>80026.37</v>
      </c>
      <c r="G524">
        <f t="shared" si="33"/>
        <v>3761239.3899999997</v>
      </c>
      <c r="H524" s="1">
        <v>45733</v>
      </c>
      <c r="I524" s="1" t="str">
        <f t="shared" si="34"/>
        <v>Mar</v>
      </c>
      <c r="J524" s="1" t="str">
        <f t="shared" si="35"/>
        <v>2025</v>
      </c>
      <c r="K524" t="s">
        <v>15</v>
      </c>
      <c r="L524" t="s">
        <v>88</v>
      </c>
    </row>
    <row r="525" spans="1:12" x14ac:dyDescent="0.25">
      <c r="A525" t="s">
        <v>695</v>
      </c>
      <c r="B525" t="str">
        <f t="shared" si="32"/>
        <v>Identified</v>
      </c>
      <c r="C525" t="s">
        <v>66</v>
      </c>
      <c r="D525" t="s">
        <v>76</v>
      </c>
      <c r="E525">
        <v>47</v>
      </c>
      <c r="F525">
        <v>155709.06</v>
      </c>
      <c r="G525">
        <f t="shared" si="33"/>
        <v>7318325.8200000003</v>
      </c>
      <c r="H525" s="1">
        <v>45581</v>
      </c>
      <c r="I525" s="1" t="str">
        <f t="shared" si="34"/>
        <v>Oct</v>
      </c>
      <c r="J525" s="1" t="str">
        <f t="shared" si="35"/>
        <v>2024</v>
      </c>
      <c r="K525" t="s">
        <v>15</v>
      </c>
      <c r="L525" t="s">
        <v>696</v>
      </c>
    </row>
    <row r="526" spans="1:12" x14ac:dyDescent="0.25">
      <c r="A526" t="s">
        <v>797</v>
      </c>
      <c r="B526" t="str">
        <f t="shared" si="32"/>
        <v>Identified</v>
      </c>
      <c r="C526" t="s">
        <v>33</v>
      </c>
      <c r="D526" t="s">
        <v>98</v>
      </c>
      <c r="E526">
        <v>57</v>
      </c>
      <c r="F526">
        <v>274375.17</v>
      </c>
      <c r="G526">
        <f t="shared" si="33"/>
        <v>15639384.689999999</v>
      </c>
      <c r="H526" s="1">
        <v>45455</v>
      </c>
      <c r="I526" s="1" t="str">
        <f t="shared" si="34"/>
        <v>Jun</v>
      </c>
      <c r="J526" s="1" t="str">
        <f t="shared" si="35"/>
        <v>2024</v>
      </c>
      <c r="K526" t="s">
        <v>30</v>
      </c>
      <c r="L526" t="s">
        <v>798</v>
      </c>
    </row>
    <row r="527" spans="1:12" x14ac:dyDescent="0.25">
      <c r="A527" t="s">
        <v>186</v>
      </c>
      <c r="B527" t="str">
        <f t="shared" si="32"/>
        <v>Identified</v>
      </c>
      <c r="C527" t="s">
        <v>66</v>
      </c>
      <c r="D527" t="s">
        <v>25</v>
      </c>
      <c r="E527">
        <v>12</v>
      </c>
      <c r="F527">
        <v>84062.42</v>
      </c>
      <c r="G527">
        <f t="shared" si="33"/>
        <v>1008749.04</v>
      </c>
      <c r="H527" s="1">
        <v>45714</v>
      </c>
      <c r="I527" s="1" t="str">
        <f t="shared" si="34"/>
        <v>Feb</v>
      </c>
      <c r="J527" s="1" t="str">
        <f t="shared" si="35"/>
        <v>2025</v>
      </c>
      <c r="K527" t="s">
        <v>15</v>
      </c>
      <c r="L527" t="s">
        <v>188</v>
      </c>
    </row>
    <row r="528" spans="1:12" x14ac:dyDescent="0.25">
      <c r="A528" t="s">
        <v>961</v>
      </c>
      <c r="B528" t="str">
        <f t="shared" si="32"/>
        <v>Identified</v>
      </c>
      <c r="C528" t="s">
        <v>143</v>
      </c>
      <c r="D528" t="s">
        <v>98</v>
      </c>
      <c r="E528">
        <v>47</v>
      </c>
      <c r="F528">
        <v>186124.36</v>
      </c>
      <c r="G528">
        <f t="shared" si="33"/>
        <v>8747844.9199999999</v>
      </c>
      <c r="H528" s="1">
        <v>45638</v>
      </c>
      <c r="I528" s="1" t="str">
        <f t="shared" si="34"/>
        <v>Dec</v>
      </c>
      <c r="J528" s="1" t="str">
        <f t="shared" si="35"/>
        <v>2024</v>
      </c>
      <c r="K528" t="s">
        <v>11</v>
      </c>
      <c r="L528" t="s">
        <v>962</v>
      </c>
    </row>
    <row r="529" spans="1:12" x14ac:dyDescent="0.25">
      <c r="A529" t="s">
        <v>935</v>
      </c>
      <c r="B529" t="str">
        <f t="shared" si="32"/>
        <v>Identified</v>
      </c>
      <c r="C529" t="s">
        <v>62</v>
      </c>
      <c r="D529" t="s">
        <v>98</v>
      </c>
      <c r="E529">
        <v>47</v>
      </c>
      <c r="F529">
        <v>5509.48</v>
      </c>
      <c r="G529">
        <f t="shared" si="33"/>
        <v>258945.55999999997</v>
      </c>
      <c r="H529" s="1">
        <v>45300</v>
      </c>
      <c r="I529" s="1" t="str">
        <f t="shared" si="34"/>
        <v>Jan</v>
      </c>
      <c r="J529" s="1" t="str">
        <f t="shared" si="35"/>
        <v>2024</v>
      </c>
      <c r="K529" t="s">
        <v>51</v>
      </c>
      <c r="L529" t="s">
        <v>936</v>
      </c>
    </row>
    <row r="530" spans="1:12" x14ac:dyDescent="0.25">
      <c r="A530" t="s">
        <v>723</v>
      </c>
      <c r="B530" t="str">
        <f t="shared" si="32"/>
        <v>Identified</v>
      </c>
      <c r="C530" t="s">
        <v>57</v>
      </c>
      <c r="D530" t="s">
        <v>14</v>
      </c>
      <c r="E530">
        <v>26</v>
      </c>
      <c r="F530">
        <v>161609.51999999999</v>
      </c>
      <c r="G530">
        <f t="shared" si="33"/>
        <v>4201847.5199999996</v>
      </c>
      <c r="H530" s="1">
        <v>45576</v>
      </c>
      <c r="I530" s="1" t="str">
        <f t="shared" si="34"/>
        <v>Oct</v>
      </c>
      <c r="J530" s="1" t="str">
        <f t="shared" si="35"/>
        <v>2024</v>
      </c>
      <c r="K530" t="s">
        <v>15</v>
      </c>
      <c r="L530" t="s">
        <v>724</v>
      </c>
    </row>
    <row r="531" spans="1:12" x14ac:dyDescent="0.25">
      <c r="A531" t="s">
        <v>109</v>
      </c>
      <c r="B531" t="str">
        <f t="shared" si="32"/>
        <v>Identified</v>
      </c>
      <c r="C531" t="s">
        <v>33</v>
      </c>
      <c r="D531" t="s">
        <v>76</v>
      </c>
      <c r="E531">
        <v>47</v>
      </c>
      <c r="F531">
        <v>232494.54</v>
      </c>
      <c r="G531">
        <f t="shared" si="33"/>
        <v>10927243.380000001</v>
      </c>
      <c r="H531" s="1">
        <v>45511</v>
      </c>
      <c r="I531" s="1" t="str">
        <f t="shared" si="34"/>
        <v>Aug</v>
      </c>
      <c r="J531" s="1" t="str">
        <f t="shared" si="35"/>
        <v>2024</v>
      </c>
      <c r="K531" t="s">
        <v>15</v>
      </c>
      <c r="L531" t="s">
        <v>110</v>
      </c>
    </row>
    <row r="532" spans="1:12" x14ac:dyDescent="0.25">
      <c r="A532" t="s">
        <v>729</v>
      </c>
      <c r="B532" t="str">
        <f t="shared" si="32"/>
        <v>Identified</v>
      </c>
      <c r="C532" t="s">
        <v>18</v>
      </c>
      <c r="D532" t="s">
        <v>14</v>
      </c>
      <c r="E532">
        <v>47</v>
      </c>
      <c r="F532">
        <v>257333.6</v>
      </c>
      <c r="G532">
        <f t="shared" si="33"/>
        <v>12094679.200000001</v>
      </c>
      <c r="H532" s="1">
        <v>45719</v>
      </c>
      <c r="I532" s="1" t="str">
        <f t="shared" si="34"/>
        <v>Mar</v>
      </c>
      <c r="J532" s="1" t="str">
        <f t="shared" si="35"/>
        <v>2025</v>
      </c>
      <c r="K532" t="s">
        <v>11</v>
      </c>
      <c r="L532" t="s">
        <v>730</v>
      </c>
    </row>
    <row r="533" spans="1:12" x14ac:dyDescent="0.25">
      <c r="A533" t="s">
        <v>1011</v>
      </c>
      <c r="B533" t="str">
        <f t="shared" si="32"/>
        <v>Identified</v>
      </c>
      <c r="C533" t="s">
        <v>57</v>
      </c>
      <c r="D533" t="s">
        <v>25</v>
      </c>
      <c r="E533">
        <v>47</v>
      </c>
      <c r="F533">
        <v>155709.06</v>
      </c>
      <c r="G533">
        <f t="shared" si="33"/>
        <v>7318325.8200000003</v>
      </c>
      <c r="H533" s="1">
        <v>45623</v>
      </c>
      <c r="I533" s="1" t="str">
        <f t="shared" si="34"/>
        <v>Nov</v>
      </c>
      <c r="J533" s="1" t="str">
        <f t="shared" si="35"/>
        <v>2024</v>
      </c>
      <c r="K533" t="s">
        <v>30</v>
      </c>
      <c r="L533" t="s">
        <v>1012</v>
      </c>
    </row>
    <row r="534" spans="1:12" x14ac:dyDescent="0.25">
      <c r="A534" t="s">
        <v>612</v>
      </c>
      <c r="B534" t="str">
        <f t="shared" si="32"/>
        <v>Identified</v>
      </c>
      <c r="C534" t="s">
        <v>22</v>
      </c>
      <c r="D534" t="s">
        <v>25</v>
      </c>
      <c r="E534">
        <v>47</v>
      </c>
      <c r="F534">
        <v>215868.65</v>
      </c>
      <c r="G534">
        <f t="shared" si="33"/>
        <v>10145826.549999999</v>
      </c>
      <c r="H534" s="1">
        <v>45742</v>
      </c>
      <c r="I534" s="1" t="str">
        <f t="shared" si="34"/>
        <v>Mar</v>
      </c>
      <c r="J534" s="1" t="str">
        <f t="shared" si="35"/>
        <v>2025</v>
      </c>
      <c r="K534" t="s">
        <v>30</v>
      </c>
      <c r="L534" t="s">
        <v>1087</v>
      </c>
    </row>
    <row r="535" spans="1:12" x14ac:dyDescent="0.25">
      <c r="A535" t="s">
        <v>297</v>
      </c>
      <c r="B535" t="str">
        <f t="shared" si="32"/>
        <v>Identified</v>
      </c>
      <c r="C535" t="s">
        <v>13</v>
      </c>
      <c r="D535" t="s">
        <v>19</v>
      </c>
      <c r="E535">
        <v>56</v>
      </c>
      <c r="F535">
        <v>86529.89</v>
      </c>
      <c r="G535">
        <f t="shared" si="33"/>
        <v>4845673.84</v>
      </c>
      <c r="H535" s="1">
        <v>45269</v>
      </c>
      <c r="I535" s="1" t="str">
        <f t="shared" si="34"/>
        <v>Dec</v>
      </c>
      <c r="J535" s="1" t="str">
        <f t="shared" si="35"/>
        <v>2023</v>
      </c>
      <c r="K535" t="s">
        <v>30</v>
      </c>
      <c r="L535" t="s">
        <v>298</v>
      </c>
    </row>
    <row r="536" spans="1:12" x14ac:dyDescent="0.25">
      <c r="A536" t="s">
        <v>763</v>
      </c>
      <c r="B536" t="str">
        <f t="shared" si="32"/>
        <v>Identified</v>
      </c>
      <c r="C536" t="s">
        <v>13</v>
      </c>
      <c r="D536" t="s">
        <v>29</v>
      </c>
      <c r="E536">
        <v>47</v>
      </c>
      <c r="F536">
        <v>113461.81</v>
      </c>
      <c r="G536">
        <f t="shared" si="33"/>
        <v>5332705.07</v>
      </c>
      <c r="H536" s="1">
        <v>45654</v>
      </c>
      <c r="I536" s="1" t="str">
        <f t="shared" si="34"/>
        <v>Dec</v>
      </c>
      <c r="J536" s="1" t="str">
        <f t="shared" si="35"/>
        <v>2024</v>
      </c>
      <c r="K536" t="s">
        <v>30</v>
      </c>
      <c r="L536" t="s">
        <v>764</v>
      </c>
    </row>
    <row r="537" spans="1:12" x14ac:dyDescent="0.25">
      <c r="A537" t="s">
        <v>690</v>
      </c>
      <c r="B537" t="str">
        <f t="shared" si="32"/>
        <v>Identified</v>
      </c>
      <c r="C537" t="s">
        <v>83</v>
      </c>
      <c r="D537" t="s">
        <v>14</v>
      </c>
      <c r="E537">
        <v>47</v>
      </c>
      <c r="F537">
        <v>82908.600000000006</v>
      </c>
      <c r="G537">
        <f t="shared" si="33"/>
        <v>3896704.2</v>
      </c>
      <c r="H537" s="1">
        <v>45652</v>
      </c>
      <c r="I537" s="1" t="str">
        <f t="shared" si="34"/>
        <v>Dec</v>
      </c>
      <c r="J537" s="1" t="str">
        <f t="shared" si="35"/>
        <v>2024</v>
      </c>
      <c r="K537" t="s">
        <v>11</v>
      </c>
      <c r="L537" t="s">
        <v>691</v>
      </c>
    </row>
    <row r="538" spans="1:12" x14ac:dyDescent="0.25">
      <c r="A538" t="s">
        <v>175</v>
      </c>
      <c r="B538" t="str">
        <f t="shared" si="32"/>
        <v>Identified</v>
      </c>
      <c r="C538" t="s">
        <v>93</v>
      </c>
      <c r="D538" t="s">
        <v>59</v>
      </c>
      <c r="E538">
        <v>94</v>
      </c>
      <c r="F538">
        <v>204383.39</v>
      </c>
      <c r="G538">
        <f t="shared" si="33"/>
        <v>19212038.66</v>
      </c>
      <c r="H538" s="1">
        <v>45761</v>
      </c>
      <c r="I538" s="1" t="str">
        <f t="shared" si="34"/>
        <v>Apr</v>
      </c>
      <c r="J538" s="1" t="str">
        <f t="shared" si="35"/>
        <v>2025</v>
      </c>
      <c r="K538" t="s">
        <v>30</v>
      </c>
      <c r="L538" t="s">
        <v>176</v>
      </c>
    </row>
    <row r="539" spans="1:12" x14ac:dyDescent="0.25">
      <c r="A539" t="s">
        <v>356</v>
      </c>
      <c r="B539" t="str">
        <f t="shared" si="32"/>
        <v>Identified</v>
      </c>
      <c r="C539" t="s">
        <v>119</v>
      </c>
      <c r="D539" t="s">
        <v>19</v>
      </c>
      <c r="E539">
        <v>47</v>
      </c>
      <c r="F539">
        <v>266833.36</v>
      </c>
      <c r="G539">
        <f t="shared" si="33"/>
        <v>12541167.92</v>
      </c>
      <c r="H539" s="1">
        <v>45164</v>
      </c>
      <c r="I539" s="1" t="str">
        <f t="shared" si="34"/>
        <v>Aug</v>
      </c>
      <c r="J539" s="1" t="str">
        <f t="shared" si="35"/>
        <v>2023</v>
      </c>
      <c r="K539" t="s">
        <v>30</v>
      </c>
      <c r="L539" t="s">
        <v>357</v>
      </c>
    </row>
    <row r="540" spans="1:12" x14ac:dyDescent="0.25">
      <c r="A540" t="s">
        <v>621</v>
      </c>
      <c r="B540" t="str">
        <f t="shared" si="32"/>
        <v>Identified</v>
      </c>
      <c r="C540" t="s">
        <v>66</v>
      </c>
      <c r="D540" t="s">
        <v>59</v>
      </c>
      <c r="E540">
        <v>47</v>
      </c>
      <c r="F540">
        <v>156399.29999999999</v>
      </c>
      <c r="G540">
        <f t="shared" si="33"/>
        <v>7350767.0999999996</v>
      </c>
      <c r="H540" s="1">
        <v>45722</v>
      </c>
      <c r="I540" s="1" t="str">
        <f t="shared" si="34"/>
        <v>Mar</v>
      </c>
      <c r="J540" s="1" t="str">
        <f t="shared" si="35"/>
        <v>2025</v>
      </c>
      <c r="K540" t="s">
        <v>51</v>
      </c>
      <c r="L540" t="s">
        <v>622</v>
      </c>
    </row>
    <row r="541" spans="1:12" x14ac:dyDescent="0.25">
      <c r="A541" t="s">
        <v>197</v>
      </c>
      <c r="B541" t="str">
        <f t="shared" si="32"/>
        <v>Identified</v>
      </c>
      <c r="C541" t="s">
        <v>83</v>
      </c>
      <c r="D541" t="s">
        <v>98</v>
      </c>
      <c r="E541">
        <v>47</v>
      </c>
      <c r="F541">
        <v>211617.83</v>
      </c>
      <c r="G541">
        <f t="shared" si="33"/>
        <v>9946038.0099999998</v>
      </c>
      <c r="H541" s="1">
        <v>45792</v>
      </c>
      <c r="I541" s="1" t="str">
        <f t="shared" si="34"/>
        <v>May</v>
      </c>
      <c r="J541" s="1" t="str">
        <f t="shared" si="35"/>
        <v>2025</v>
      </c>
      <c r="K541" t="s">
        <v>11</v>
      </c>
      <c r="L541" t="s">
        <v>198</v>
      </c>
    </row>
    <row r="542" spans="1:12" x14ac:dyDescent="0.25">
      <c r="A542" t="s">
        <v>193</v>
      </c>
      <c r="B542" t="str">
        <f t="shared" si="32"/>
        <v>Identified</v>
      </c>
      <c r="C542" t="s">
        <v>22</v>
      </c>
      <c r="D542" t="s">
        <v>50</v>
      </c>
      <c r="E542">
        <v>47</v>
      </c>
      <c r="F542">
        <v>294686.96000000002</v>
      </c>
      <c r="G542">
        <f t="shared" si="33"/>
        <v>13850287.120000001</v>
      </c>
      <c r="H542" s="1">
        <v>45390</v>
      </c>
      <c r="I542" s="1" t="str">
        <f t="shared" si="34"/>
        <v>Apr</v>
      </c>
      <c r="J542" s="1" t="str">
        <f t="shared" si="35"/>
        <v>2024</v>
      </c>
      <c r="K542" t="s">
        <v>30</v>
      </c>
      <c r="L542" t="s">
        <v>194</v>
      </c>
    </row>
    <row r="543" spans="1:12" x14ac:dyDescent="0.25">
      <c r="A543" t="s">
        <v>663</v>
      </c>
      <c r="B543" t="str">
        <f t="shared" si="32"/>
        <v>Identified</v>
      </c>
      <c r="C543" t="s">
        <v>66</v>
      </c>
      <c r="D543" t="s">
        <v>98</v>
      </c>
      <c r="E543">
        <v>47</v>
      </c>
      <c r="F543">
        <v>232931.05</v>
      </c>
      <c r="G543">
        <f t="shared" si="33"/>
        <v>10947759.35</v>
      </c>
      <c r="H543" s="1">
        <v>45350</v>
      </c>
      <c r="I543" s="1" t="str">
        <f t="shared" si="34"/>
        <v>Feb</v>
      </c>
      <c r="J543" s="1" t="str">
        <f t="shared" si="35"/>
        <v>2024</v>
      </c>
      <c r="K543" t="s">
        <v>30</v>
      </c>
      <c r="L543" t="s">
        <v>1087</v>
      </c>
    </row>
    <row r="544" spans="1:12" x14ac:dyDescent="0.25">
      <c r="A544" t="s">
        <v>1055</v>
      </c>
      <c r="B544" t="str">
        <f t="shared" si="32"/>
        <v>Identified</v>
      </c>
      <c r="C544" t="s">
        <v>49</v>
      </c>
      <c r="D544" t="s">
        <v>50</v>
      </c>
      <c r="E544">
        <v>47</v>
      </c>
      <c r="F544">
        <v>90133.43</v>
      </c>
      <c r="G544">
        <f t="shared" si="33"/>
        <v>4236271.21</v>
      </c>
      <c r="H544" s="1">
        <v>45803</v>
      </c>
      <c r="I544" s="1" t="str">
        <f t="shared" si="34"/>
        <v>May</v>
      </c>
      <c r="J544" s="1" t="str">
        <f t="shared" si="35"/>
        <v>2025</v>
      </c>
      <c r="K544" t="s">
        <v>11</v>
      </c>
      <c r="L544" t="s">
        <v>1056</v>
      </c>
    </row>
    <row r="545" spans="1:12" x14ac:dyDescent="0.25">
      <c r="A545" t="s">
        <v>294</v>
      </c>
      <c r="B545" t="str">
        <f t="shared" si="32"/>
        <v>Identified</v>
      </c>
      <c r="C545" t="s">
        <v>18</v>
      </c>
      <c r="D545" t="s">
        <v>14</v>
      </c>
      <c r="E545">
        <v>47</v>
      </c>
      <c r="F545">
        <v>195336.34</v>
      </c>
      <c r="G545">
        <f t="shared" si="33"/>
        <v>9180807.9800000004</v>
      </c>
      <c r="H545" s="1">
        <v>45966</v>
      </c>
      <c r="I545" s="1" t="str">
        <f t="shared" si="34"/>
        <v>Nov</v>
      </c>
      <c r="J545" s="1" t="str">
        <f t="shared" si="35"/>
        <v>2025</v>
      </c>
      <c r="K545" t="s">
        <v>30</v>
      </c>
      <c r="L545" t="s">
        <v>1087</v>
      </c>
    </row>
    <row r="546" spans="1:12" x14ac:dyDescent="0.25">
      <c r="A546" t="s">
        <v>1004</v>
      </c>
      <c r="B546" t="str">
        <f t="shared" si="32"/>
        <v>Identified</v>
      </c>
      <c r="C546" t="s">
        <v>39</v>
      </c>
      <c r="D546" t="s">
        <v>59</v>
      </c>
      <c r="E546">
        <v>47</v>
      </c>
      <c r="F546">
        <v>253676.27</v>
      </c>
      <c r="G546">
        <f t="shared" si="33"/>
        <v>11922784.689999999</v>
      </c>
      <c r="H546" s="1">
        <v>45802</v>
      </c>
      <c r="I546" s="1" t="str">
        <f t="shared" si="34"/>
        <v>May</v>
      </c>
      <c r="J546" s="1" t="str">
        <f t="shared" si="35"/>
        <v>2025</v>
      </c>
      <c r="K546" t="s">
        <v>11</v>
      </c>
      <c r="L546" t="s">
        <v>1005</v>
      </c>
    </row>
    <row r="547" spans="1:12" x14ac:dyDescent="0.25">
      <c r="A547" t="s">
        <v>598</v>
      </c>
      <c r="B547" t="str">
        <f t="shared" si="32"/>
        <v>Identified</v>
      </c>
      <c r="C547" t="s">
        <v>49</v>
      </c>
      <c r="D547" t="s">
        <v>29</v>
      </c>
      <c r="E547">
        <v>11</v>
      </c>
      <c r="F547">
        <v>38640.449999999997</v>
      </c>
      <c r="G547">
        <f t="shared" si="33"/>
        <v>425044.94999999995</v>
      </c>
      <c r="H547" s="1">
        <v>45330</v>
      </c>
      <c r="I547" s="1" t="str">
        <f t="shared" si="34"/>
        <v>Feb</v>
      </c>
      <c r="J547" s="1" t="str">
        <f t="shared" si="35"/>
        <v>2024</v>
      </c>
      <c r="K547" t="s">
        <v>30</v>
      </c>
      <c r="L547" t="s">
        <v>599</v>
      </c>
    </row>
    <row r="548" spans="1:12" x14ac:dyDescent="0.25">
      <c r="A548" t="s">
        <v>546</v>
      </c>
      <c r="B548" t="str">
        <f t="shared" si="32"/>
        <v>Identified</v>
      </c>
      <c r="C548" t="s">
        <v>115</v>
      </c>
      <c r="D548" t="s">
        <v>25</v>
      </c>
      <c r="E548">
        <v>47</v>
      </c>
      <c r="F548">
        <v>210265.27</v>
      </c>
      <c r="G548">
        <f t="shared" si="33"/>
        <v>9882467.6899999995</v>
      </c>
      <c r="H548" s="1">
        <v>45342</v>
      </c>
      <c r="I548" s="1" t="str">
        <f t="shared" si="34"/>
        <v>Feb</v>
      </c>
      <c r="J548" s="1" t="str">
        <f t="shared" si="35"/>
        <v>2024</v>
      </c>
      <c r="K548" t="s">
        <v>15</v>
      </c>
      <c r="L548" t="s">
        <v>547</v>
      </c>
    </row>
    <row r="549" spans="1:12" x14ac:dyDescent="0.25">
      <c r="A549" t="s">
        <v>225</v>
      </c>
      <c r="B549" t="str">
        <f t="shared" si="32"/>
        <v>Identified</v>
      </c>
      <c r="C549" t="s">
        <v>97</v>
      </c>
      <c r="D549" t="s">
        <v>29</v>
      </c>
      <c r="E549">
        <v>47</v>
      </c>
      <c r="F549">
        <v>232032.77</v>
      </c>
      <c r="G549">
        <f t="shared" si="33"/>
        <v>10905540.189999999</v>
      </c>
      <c r="H549" s="1">
        <v>45521</v>
      </c>
      <c r="I549" s="1" t="str">
        <f t="shared" si="34"/>
        <v>Aug</v>
      </c>
      <c r="J549" s="1" t="str">
        <f t="shared" si="35"/>
        <v>2024</v>
      </c>
      <c r="K549" t="s">
        <v>30</v>
      </c>
      <c r="L549" t="s">
        <v>226</v>
      </c>
    </row>
    <row r="550" spans="1:12" x14ac:dyDescent="0.25">
      <c r="A550" t="s">
        <v>100</v>
      </c>
      <c r="B550" t="str">
        <f t="shared" si="32"/>
        <v>Identified</v>
      </c>
      <c r="C550" t="s">
        <v>18</v>
      </c>
      <c r="D550" t="s">
        <v>29</v>
      </c>
      <c r="E550">
        <v>68</v>
      </c>
      <c r="F550">
        <v>15880.87</v>
      </c>
      <c r="G550">
        <f t="shared" si="33"/>
        <v>1079899.1600000001</v>
      </c>
      <c r="H550" s="1">
        <v>45398</v>
      </c>
      <c r="I550" s="1" t="str">
        <f t="shared" si="34"/>
        <v>Apr</v>
      </c>
      <c r="J550" s="1" t="str">
        <f t="shared" si="35"/>
        <v>2024</v>
      </c>
      <c r="K550" t="s">
        <v>15</v>
      </c>
      <c r="L550" t="s">
        <v>101</v>
      </c>
    </row>
    <row r="551" spans="1:12" x14ac:dyDescent="0.25">
      <c r="A551" t="s">
        <v>1077</v>
      </c>
      <c r="B551" t="str">
        <f t="shared" si="32"/>
        <v>Identified</v>
      </c>
      <c r="C551" t="s">
        <v>83</v>
      </c>
      <c r="D551" t="s">
        <v>76</v>
      </c>
      <c r="E551">
        <v>6</v>
      </c>
      <c r="F551">
        <v>23989.09</v>
      </c>
      <c r="G551">
        <f t="shared" si="33"/>
        <v>143934.54</v>
      </c>
      <c r="H551" s="1">
        <v>45845</v>
      </c>
      <c r="I551" s="1" t="str">
        <f t="shared" si="34"/>
        <v>Jul</v>
      </c>
      <c r="J551" s="1" t="str">
        <f t="shared" si="35"/>
        <v>2025</v>
      </c>
      <c r="K551" t="s">
        <v>15</v>
      </c>
      <c r="L551" t="s">
        <v>1078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F1B80B-89B7-43EC-9571-28D36FF506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Pivot_Table</vt:lpstr>
      <vt:lpstr>Dashboard</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TERUNGWA EMMANUEL</dc:creator>
  <cp:lastModifiedBy>TERUNGWA EMMANUEL</cp:lastModifiedBy>
  <dcterms:created xsi:type="dcterms:W3CDTF">2025-10-17T09:31:05Z</dcterms:created>
  <dcterms:modified xsi:type="dcterms:W3CDTF">2025-10-17T23:54:41Z</dcterms:modified>
</cp:coreProperties>
</file>